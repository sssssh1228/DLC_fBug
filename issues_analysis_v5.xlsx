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ell\Documents\GitHub\DLC_fBug\"/>
    </mc:Choice>
  </mc:AlternateContent>
  <xr:revisionPtr revIDLastSave="0" documentId="13_ncr:1_{230AEFB3-9945-4649-830F-DCB04B31393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9 (2)" sheetId="1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7" l="1"/>
  <c r="K4" i="17"/>
  <c r="K20" i="17"/>
  <c r="K12" i="17"/>
  <c r="K13" i="17"/>
  <c r="K14" i="17"/>
  <c r="K15" i="17"/>
  <c r="K16" i="17"/>
  <c r="K17" i="17"/>
  <c r="K18" i="17"/>
  <c r="K19" i="17"/>
  <c r="K11" i="17"/>
  <c r="K10" i="17"/>
  <c r="K9" i="17"/>
  <c r="K8" i="17"/>
  <c r="K6" i="17"/>
  <c r="K7" i="17"/>
  <c r="K3" i="17"/>
  <c r="K21" i="17" l="1"/>
  <c r="L19" i="17"/>
</calcChain>
</file>

<file path=xl/sharedStrings.xml><?xml version="1.0" encoding="utf-8"?>
<sst xmlns="http://schemas.openxmlformats.org/spreadsheetml/2006/main" count="768" uniqueCount="478">
  <si>
    <t>issue id</t>
    <phoneticPr fontId="1" type="noConversion"/>
  </si>
  <si>
    <t>Pull request</t>
    <phoneticPr fontId="1" type="noConversion"/>
  </si>
  <si>
    <t>[Dynamo Hackathon] Add support for hasattr on TorchVariable #103177</t>
    <phoneticPr fontId="1" type="noConversion"/>
  </si>
  <si>
    <t>torch/_dynamo/variables/torch.py</t>
  </si>
  <si>
    <t>Error message for allow_in_graph decorator and arbitrary function combo #135972</t>
    <phoneticPr fontId="1" type="noConversion"/>
  </si>
  <si>
    <t>torch/_dynamo/variables/functions.py</t>
    <phoneticPr fontId="1" type="noConversion"/>
  </si>
  <si>
    <t>Skip frame if torch dispatch mode enabled #131828</t>
    <phoneticPr fontId="1" type="noConversion"/>
  </si>
  <si>
    <t>torch/_dynamo/convert_frame.py
torch/utils/_python_dispatch.py</t>
    <phoneticPr fontId="1" type="noConversion"/>
  </si>
  <si>
    <t>[dynamo] guard global autocast state #143592</t>
    <phoneticPr fontId="1" type="noConversion"/>
  </si>
  <si>
    <t>torch/csrc/dynamo/guards.cpp</t>
    <phoneticPr fontId="1" type="noConversion"/>
  </si>
  <si>
    <t>torch/_dynamo/utils.py</t>
    <phoneticPr fontId="1" type="noConversion"/>
  </si>
  <si>
    <t>Relax constraints for creating a GenericContextWrappingVariable #129091</t>
    <phoneticPr fontId="1" type="noConversion"/>
  </si>
  <si>
    <t>torch/_dynamo/variables/ctx_manager.py
torch/_dynamo/variables/user_defined.py</t>
    <phoneticPr fontId="1" type="noConversion"/>
  </si>
  <si>
    <t>Dynamo doesn't support != when the compared objects have custom __eq__ #142055</t>
    <phoneticPr fontId="1" type="noConversion"/>
  </si>
  <si>
    <t>Add python type for list iterators #130511</t>
    <phoneticPr fontId="1" type="noConversion"/>
  </si>
  <si>
    <t>torch/_dynamo/variables/lists.py</t>
    <phoneticPr fontId="1" type="noConversion"/>
  </si>
  <si>
    <t>[dynamo] handle tensor subclass with non-classmethod __torch_function__ #151061</t>
    <phoneticPr fontId="1" type="noConversion"/>
  </si>
  <si>
    <t>torch/_dynamo/variables/torch_function.py</t>
    <phoneticPr fontId="1" type="noConversion"/>
  </si>
  <si>
    <t>Allow cross-device copies for cpu scalars in refs #135140</t>
    <phoneticPr fontId="1" type="noConversion"/>
  </si>
  <si>
    <t>torch/_prims_common/wrappers.py</t>
    <phoneticPr fontId="1" type="noConversion"/>
  </si>
  <si>
    <t>[dynamo] Graph break on random_ op #130222</t>
    <phoneticPr fontId="1" type="noConversion"/>
  </si>
  <si>
    <t>torch/_dynamo/symbolic_convert.py</t>
    <phoneticPr fontId="1" type="noConversion"/>
  </si>
  <si>
    <t>[dynamo][aot autograd] Silently disable default saved tensor hooks during tracing #123196</t>
    <phoneticPr fontId="1" type="noConversion"/>
  </si>
  <si>
    <t>[dynamo] add torch.compiler.set_stance #137504</t>
    <phoneticPr fontId="1" type="noConversion"/>
  </si>
  <si>
    <t>torch/_dynamo/decorators.py
torch/_dynamo/eval_frame.py</t>
    <phoneticPr fontId="1" type="noConversion"/>
  </si>
  <si>
    <t>[Dynamo] Handle extracted unbound tensor methods #137227</t>
    <phoneticPr fontId="1" type="noConversion"/>
  </si>
  <si>
    <t>torch/_dynamo/variables/torch.py</t>
    <phoneticPr fontId="1" type="noConversion"/>
  </si>
  <si>
    <t>[dynamo] Properly prune dead cell local variables #136891</t>
    <phoneticPr fontId="1" type="noConversion"/>
  </si>
  <si>
    <t>Fix side effect pruning #128028</t>
    <phoneticPr fontId="1" type="noConversion"/>
  </si>
  <si>
    <t>torch/_dynamo/side_effects.py</t>
    <phoneticPr fontId="1" type="noConversion"/>
  </si>
  <si>
    <t>[dynamo] Turn on inline_inbuilt_nn_modules #131275</t>
    <phoneticPr fontId="1" type="noConversion"/>
  </si>
  <si>
    <t>[Dynamo] Support torch.cuda.device ctx manager #133385</t>
    <phoneticPr fontId="1" type="noConversion"/>
  </si>
  <si>
    <t>[dynamo] Support dict unpack of MutableMapping objects #131961</t>
    <phoneticPr fontId="1" type="noConversion"/>
  </si>
  <si>
    <t>[dynamo] update call map to allow multiple input parameters #130748</t>
    <phoneticPr fontId="1" type="noConversion"/>
  </si>
  <si>
    <t>torch/_dynamo/variables/builtin.py</t>
    <phoneticPr fontId="1" type="noConversion"/>
  </si>
  <si>
    <t>[dynamo] handle hashable exceptions in trace_rules lookup #128078</t>
    <phoneticPr fontId="1" type="noConversion"/>
  </si>
  <si>
    <t>torch/_dynamo/trace_rules.py</t>
    <phoneticPr fontId="1" type="noConversion"/>
  </si>
  <si>
    <t>Stop immediately specializing common constants 0/1 for plain int #128327</t>
    <phoneticPr fontId="1" type="noConversion"/>
  </si>
  <si>
    <t>torch/_dynamo/variables/builder.py</t>
    <phoneticPr fontId="1" type="noConversion"/>
  </si>
  <si>
    <t>Implement filter in dynamo #131674</t>
    <phoneticPr fontId="1" type="noConversion"/>
  </si>
  <si>
    <t>[dynamo] recursively skip frames when Dynamo cache limit is hit #135144</t>
    <phoneticPr fontId="1" type="noConversion"/>
  </si>
  <si>
    <t>torch/_dynamo/convert_frame.py
torch/csrc/dynamo/eval_frame.c
torch/csrc/dynamo/extra_state.cpp</t>
    <phoneticPr fontId="1" type="noConversion"/>
  </si>
  <si>
    <t>[dynamo] Always trace into tensor subclass __torch_function__ #149792</t>
    <phoneticPr fontId="1" type="noConversion"/>
  </si>
  <si>
    <t>[dynamo][inline_inbuilt_nn_modules] Skip test_dpp_graphs for now #132053</t>
    <phoneticPr fontId="1" type="noConversion"/>
  </si>
  <si>
    <t>[Bugfix] Fix compile error with torch.Tensor.unsqueeze_ and inplace views called from Tensor Class #150573</t>
    <phoneticPr fontId="1" type="noConversion"/>
  </si>
  <si>
    <t>Support hasattr on tensors #130794</t>
    <phoneticPr fontId="1" type="noConversion"/>
  </si>
  <si>
    <t>[dynamo] Restrict support for out= variants of torch operators #140202</t>
    <phoneticPr fontId="1" type="noConversion"/>
  </si>
  <si>
    <t>Support built-in id function for TensorVariable on parameters #130100</t>
    <phoneticPr fontId="1" type="noConversion"/>
  </si>
  <si>
    <t>torch/_dynamo/variables/builtin.py
torch/_dynamo/variables/tensor.py</t>
    <phoneticPr fontId="1" type="noConversion"/>
  </si>
  <si>
    <t>[Dynamo] Fix - str handler for UserDefinedObjectVariable #130506</t>
    <phoneticPr fontId="1" type="noConversion"/>
  </si>
  <si>
    <t>dynamo add support for defaultdict(set) #130745</t>
    <phoneticPr fontId="1" type="noConversion"/>
  </si>
  <si>
    <t>torch/_dynamo/utils.py
torch/_dynamo/variables/dicts.py</t>
    <phoneticPr fontId="1" type="noConversion"/>
  </si>
  <si>
    <t>support intersection by polyfill #130672</t>
    <phoneticPr fontId="1" type="noConversion"/>
  </si>
  <si>
    <t>torch/_dynamo/polyfill.py
torch/_dynamo/variables/dicts.py</t>
    <phoneticPr fontId="1" type="noConversion"/>
  </si>
  <si>
    <t>Add support for contextmanager in Dynamo #136033</t>
    <phoneticPr fontId="1" type="noConversion"/>
  </si>
  <si>
    <t>torch/_dynamo/symbolic_convert.py
torch/_dynamo/variables/functions.py
torch/_dynamo/variables/user_defined.py</t>
    <phoneticPr fontId="1" type="noConversion"/>
  </si>
  <si>
    <t>torch/_dynamo/variables/user_defined.py</t>
    <phoneticPr fontId="1" type="noConversion"/>
  </si>
  <si>
    <t>[dynamo] limit number of compiles per frame #130891</t>
    <phoneticPr fontId="1" type="noConversion"/>
  </si>
  <si>
    <t>torch/_dynamo/cache_size.py</t>
    <phoneticPr fontId="1" type="noConversion"/>
  </si>
  <si>
    <t>[dynamo] Use __eq__ for backend match #135039</t>
    <phoneticPr fontId="1" type="noConversion"/>
  </si>
  <si>
    <t>torch/csrc/dynamo/cache_entry.cpp
torch/csrc/dynamo/extra_state.cpp</t>
    <phoneticPr fontId="1" type="noConversion"/>
  </si>
  <si>
    <t>[compiled autograd][dynamo] improve lifted autograd.Function.backward handling and fallback to pseudo-eager #125661</t>
    <phoneticPr fontId="1" type="noConversion"/>
  </si>
  <si>
    <t>torch/_dynamo/external_utils.py
torch/_dynamo/output_graph.py
torch/_dynamo/variables/builder.py
torch/_dynamo/variables/misc.py</t>
    <phoneticPr fontId="1" type="noConversion"/>
  </si>
  <si>
    <t>register all entry_point backends on first attempt #132546</t>
    <phoneticPr fontId="1" type="noConversion"/>
  </si>
  <si>
    <t>torch/_dynamo/backends/registry.py</t>
    <phoneticPr fontId="1" type="noConversion"/>
  </si>
  <si>
    <t>Fix inlining module-scoped store global #132224</t>
    <phoneticPr fontId="1" type="noConversion"/>
  </si>
  <si>
    <t>Bucketize fix to include number and tensor inputs #133652</t>
    <phoneticPr fontId="1" type="noConversion"/>
  </si>
  <si>
    <t>torch/_refs/__init__.py</t>
    <phoneticPr fontId="1" type="noConversion"/>
  </si>
  <si>
    <t>Support hasattr tracing for more PythonModuleVariable #132731</t>
    <phoneticPr fontId="1" type="noConversion"/>
  </si>
  <si>
    <t>torch/_dynamo/variables/misc.py</t>
    <phoneticPr fontId="1" type="noConversion"/>
  </si>
  <si>
    <t>[dynamo][exception] Support raise exception from None #134028</t>
    <phoneticPr fontId="1" type="noConversion"/>
  </si>
  <si>
    <t>Add hasattr for tensor variable #131008</t>
    <phoneticPr fontId="1" type="noConversion"/>
  </si>
  <si>
    <t>torch/_dynamo/variables/tensor.py</t>
    <phoneticPr fontId="1" type="noConversion"/>
  </si>
  <si>
    <t>[dynamo][user_defined][stable-diffusion] Raise ObservedAttributeError on UserDefinedObject var_getattr #132806</t>
    <phoneticPr fontId="1" type="noConversion"/>
  </si>
  <si>
    <t>torch/_dynamo/exc.py
torch/_dynamo/symbolic_convert.py
torch/_dynamo/variables/user_defined.py</t>
    <phoneticPr fontId="1" type="noConversion"/>
  </si>
  <si>
    <t>[inductor] raise unsupport msg in capture_pre_autograd_graph on Windows #132841</t>
    <phoneticPr fontId="1" type="noConversion"/>
  </si>
  <si>
    <t>torch/_export/__init__.py</t>
    <phoneticPr fontId="1" type="noConversion"/>
  </si>
  <si>
    <t>[dynamo] Support TypedDict #138359</t>
    <phoneticPr fontId="1" type="noConversion"/>
  </si>
  <si>
    <t>[dynamo][guards][logs] Generate code_parts for debugging #134181</t>
    <phoneticPr fontId="1" type="noConversion"/>
  </si>
  <si>
    <t>torch/_dynamo/guards.py</t>
    <phoneticPr fontId="1" type="noConversion"/>
  </si>
  <si>
    <t>[dynamo] Support remove method of set #132943</t>
    <phoneticPr fontId="1" type="noConversion"/>
  </si>
  <si>
    <t>torch/_dynamo/variables/dicts.py</t>
    <phoneticPr fontId="1" type="noConversion"/>
  </si>
  <si>
    <t>[dynamo] unpack sequence lazily for list extend/deque extendleft #150965</t>
    <phoneticPr fontId="1" type="noConversion"/>
  </si>
  <si>
    <t>torch/_dynamo/variables/base.py
torch/_dynamo/variables/functions.py
torch/_dynamo/variables/iter.py
torch/_dynamo/variables/lists.py</t>
    <phoneticPr fontId="1" type="noConversion"/>
  </si>
  <si>
    <t>[Dynamo] Make torch.Size can be reconstructed by LOAD_CONST #133342</t>
    <phoneticPr fontId="1" type="noConversion"/>
  </si>
  <si>
    <t>[dynamo] Support namedtuple subclass #153982</t>
    <phoneticPr fontId="1" type="noConversion"/>
  </si>
  <si>
    <t>Support __class__ attr for tuple and list variables #134099</t>
    <phoneticPr fontId="1" type="noConversion"/>
  </si>
  <si>
    <t>[dynamo] Fix support for classmethod(property(...)) #134968</t>
    <phoneticPr fontId="1" type="noConversion"/>
  </si>
  <si>
    <t>torch/_dynamo/variables/constant.py
torch/_dynamo/variables/user_defined.py</t>
    <phoneticPr fontId="1" type="noConversion"/>
  </si>
  <si>
    <t>[dynamo] support torch.nn.attention.sdpa_kernel context manager #135404</t>
    <phoneticPr fontId="1" type="noConversion"/>
  </si>
  <si>
    <t>torch/_dynamo/variables/ctx_manager.py
torch/_dynamo/variables/torch.py
torch/nn/attention/__init__.py</t>
    <phoneticPr fontId="1" type="noConversion"/>
  </si>
  <si>
    <t>[dynamo] Simplify handling of functools.wraps #142000</t>
    <phoneticPr fontId="1" type="noConversion"/>
  </si>
  <si>
    <t>[Dynamo][autograd.Function] Trace fwd graph under no_grad mode #134872</t>
    <phoneticPr fontId="1" type="noConversion"/>
  </si>
  <si>
    <t>torch/_dynamo/variables/higher_order_ops.py</t>
    <phoneticPr fontId="1" type="noConversion"/>
  </si>
  <si>
    <t>[Dynamo] allow dynamic callables on tensor variables #137940</t>
    <phoneticPr fontId="1" type="noConversion"/>
  </si>
  <si>
    <t>torch/_dynamo/variables/misc.py
torch/_dynamo/variables/tensor.py</t>
    <phoneticPr fontId="1" type="noConversion"/>
  </si>
  <si>
    <t>[Dynamo] Fix Huggingface PretrainedConfig get non const attr #135413</t>
    <phoneticPr fontId="1" type="noConversion"/>
  </si>
  <si>
    <t>[dynamo] Check nn modules parameters are not overwritten before taking tracing shortcut #137824</t>
    <phoneticPr fontId="1" type="noConversion"/>
  </si>
  <si>
    <t>[dynamo] Fix error when inlining certain nested closure returned by another function #137510</t>
    <phoneticPr fontId="1" type="noConversion"/>
  </si>
  <si>
    <t>torch/_dynamo/symbolic_convert.py
torch/_dynamo/variables/functions.py</t>
    <phoneticPr fontId="1" type="noConversion"/>
  </si>
  <si>
    <t>[torch.compile] torch.vmap supports dynamic shapes + enable flex attention create_block_mask dynamic shapes #137163</t>
    <phoneticPr fontId="1" type="noConversion"/>
  </si>
  <si>
    <t>torch/_dynamo/variables/ctx_manager.py
torch/csrc/functorch/init.cpp</t>
    <phoneticPr fontId="1" type="noConversion"/>
  </si>
  <si>
    <t>[dynamo] Remove cell unboxing/restart optimization #140149</t>
    <phoneticPr fontId="1" type="noConversion"/>
  </si>
  <si>
    <t>torch/_dynamo/side_effects.py
torch/_dynamo/symbolic_convert.py
torch/_dynamo/variables/functions.py
torch/_dynamo/variables/misc.py</t>
    <phoneticPr fontId="1" type="noConversion"/>
  </si>
  <si>
    <t>[dynamo][nn_module] Use method.__self__ to find source for patched methods #151164</t>
    <phoneticPr fontId="1" type="noConversion"/>
  </si>
  <si>
    <t>fix trace nn.parameters() #138149</t>
    <phoneticPr fontId="1" type="noConversion"/>
  </si>
  <si>
    <t>handle more devices in method_type method of TensorVariable #138078</t>
    <phoneticPr fontId="1" type="noConversion"/>
  </si>
  <si>
    <t>[dynamo] Accurately identify mutated cells captured by multiple functions #138632</t>
    <phoneticPr fontId="1" type="noConversion"/>
  </si>
  <si>
    <t>[dynamo] Make OptimizedModule more robust in attribute reads and writes #153637</t>
    <phoneticPr fontId="1" type="noConversion"/>
  </si>
  <si>
    <t>torch/_dynamo/eval_frame.py</t>
    <phoneticPr fontId="1" type="noConversion"/>
  </si>
  <si>
    <t>[dynamo] mirror training flag in OptimizedModule #131546</t>
    <phoneticPr fontId="1" type="noConversion"/>
  </si>
  <si>
    <t>[dynamo] Support omegaconf DictConfig #138378</t>
    <phoneticPr fontId="1" type="noConversion"/>
  </si>
  <si>
    <t>torch/_dynamo/trace_rules.py
torch/_dynamo/variables/misc.py
torch/_dynamo/variables/user_defined.py</t>
    <phoneticPr fontId="1" type="noConversion"/>
  </si>
  <si>
    <t>[dynamo] Reconstruct defaultdict properly #154931</t>
    <phoneticPr fontId="1" type="noConversion"/>
  </si>
  <si>
    <t>Allow Lazy Module to be modelled as UnspecializedNNModuleVariable #138639</t>
    <phoneticPr fontId="1" type="noConversion"/>
  </si>
  <si>
    <t>torch/_dynamo/mutation_guard.py</t>
    <phoneticPr fontId="1" type="noConversion"/>
  </si>
  <si>
    <t>dynamo: guard on FSDP module parameters #138819</t>
    <phoneticPr fontId="1" type="noConversion"/>
  </si>
  <si>
    <t>torch/_dynamo/guards.py
torch/_guards.py</t>
    <phoneticPr fontId="1" type="noConversion"/>
  </si>
  <si>
    <t>[Bugfix] Add handling for buffer overrides #149882</t>
    <phoneticPr fontId="1" type="noConversion"/>
  </si>
  <si>
    <t>[Dynamo] Fix graph break when tensor.split() is called within a device context manager #139270</t>
    <phoneticPr fontId="1" type="noConversion"/>
  </si>
  <si>
    <t>[dynamo] Graph break fixes while tracing inspect module #151168</t>
    <phoneticPr fontId="1" type="noConversion"/>
  </si>
  <si>
    <t>torch/_dynamo/variables/base.py
torch/_dynamo/variables/builtin.py
torch/_dynamo/variables/functions.py</t>
    <phoneticPr fontId="1" type="noConversion"/>
  </si>
  <si>
    <t>[dynamo][user-defined] Walk __mro__ to get the member descriptor source #140300</t>
    <phoneticPr fontId="1" type="noConversion"/>
  </si>
  <si>
    <t>Allow disabling int specialization on nn.Modules #142829</t>
    <phoneticPr fontId="1" type="noConversion"/>
  </si>
  <si>
    <t>summary</t>
  </si>
  <si>
    <t>wrapping a method with a function decorator</t>
    <phoneticPr fontId="1" type="noConversion"/>
  </si>
  <si>
    <t>[Dynamo] Implement sourceless named tuple support #151266</t>
    <phoneticPr fontId="1" type="noConversion"/>
  </si>
  <si>
    <t>[Dynamo] Add register_hook as in-graph tensor method #142820</t>
    <phoneticPr fontId="1" type="noConversion"/>
  </si>
  <si>
    <t>torch/_dynamo/trace_rules.py
torch/_dynamo/variables/torch.py</t>
    <phoneticPr fontId="1" type="noConversion"/>
  </si>
  <si>
    <t>support input mutations on tangents in compile #141131</t>
    <phoneticPr fontId="1" type="noConversion"/>
  </si>
  <si>
    <t>torch/_functorch/_aot_autograd/traced_function_transforms.py</t>
    <phoneticPr fontId="1" type="noConversion"/>
  </si>
  <si>
    <t>[dynamo] Support multiple inheritance for custom dict construction #142416</t>
    <phoneticPr fontId="1" type="noConversion"/>
  </si>
  <si>
    <t>torch/_dynamo/variables/builtin.py
torch/_dynamo/variables/dicts.py
torch/_dynamo/variables/nn_module.py</t>
    <phoneticPr fontId="1" type="noConversion"/>
  </si>
  <si>
    <t>Fix torch.isin decomposition for scalar inputs #153216</t>
    <phoneticPr fontId="1" type="noConversion"/>
  </si>
  <si>
    <t>torch/_decomp/decompositions.py</t>
    <phoneticPr fontId="1" type="noConversion"/>
  </si>
  <si>
    <t>[Dynamo] Add missing tensor builtins to allowed functions #142841</t>
    <phoneticPr fontId="1" type="noConversion"/>
  </si>
  <si>
    <t>[dynamo] Fix and simplify hanlding of Set.update method #141286</t>
    <phoneticPr fontId="1" type="noConversion"/>
  </si>
  <si>
    <t>torch/_dynamo/polyfills/__init__.py
torch/_dynamo/variables/dicts.py</t>
    <phoneticPr fontId="1" type="noConversion"/>
  </si>
  <si>
    <t>Allow attribute mutation for MutableMappingVariable #141376</t>
    <phoneticPr fontId="1" type="noConversion"/>
  </si>
  <si>
    <t>[dynamo] Trace through dataclasses by removing it from BUILTIN_SKIPLIST #141294</t>
    <phoneticPr fontId="1" type="noConversion"/>
  </si>
  <si>
    <t>[Dynamo][autograd.Function] Use fake tensor prop to infer fwd output #136184</t>
    <phoneticPr fontId="1" type="noConversion"/>
  </si>
  <si>
    <t>Don't 1 specialize if stride is contiguous #143365</t>
    <phoneticPr fontId="1" type="noConversion"/>
  </si>
  <si>
    <t>torch/_dynamo/variables/builder.py
torch/fx/experimental/symbolic_shapes.py</t>
    <phoneticPr fontId="1" type="noConversion"/>
  </si>
  <si>
    <t>[dynamo] Properly handle != under user-defined __eq__ #142078</t>
    <phoneticPr fontId="1" type="noConversion"/>
  </si>
  <si>
    <t>torch/_dynamo/polyfills/__init__.py
torch/_dynamo/variables/user_defined.py</t>
    <phoneticPr fontId="1" type="noConversion"/>
  </si>
  <si>
    <t>Prevent users from seeing hardcoded print stmt when hypothesis is not installed #142398</t>
    <phoneticPr fontId="1" type="noConversion"/>
  </si>
  <si>
    <t>[dynamo] Properly model root frame globals during inlining #143447</t>
    <phoneticPr fontId="1" type="noConversion"/>
  </si>
  <si>
    <t>[dynamo] Avoid graph break on updates to obj.__dict__ #144419</t>
    <phoneticPr fontId="1" type="noConversion"/>
  </si>
  <si>
    <t>Fix PythonMod printing #144078</t>
    <phoneticPr fontId="1" type="noConversion"/>
  </si>
  <si>
    <t>torch/utils/_sympy/functions.py</t>
    <phoneticPr fontId="1" type="noConversion"/>
  </si>
  <si>
    <t>Fix Throughputbenchmark issue #144669</t>
    <phoneticPr fontId="1" type="noConversion"/>
  </si>
  <si>
    <t>torch/csrc/dynamo/guards.cpp
torch/csrc/utils/throughput_benchmark-inl.h</t>
    <phoneticPr fontId="1" type="noConversion"/>
  </si>
  <si>
    <t>[Dynamo] Allow format() to handle int #144956</t>
    <phoneticPr fontId="1" type="noConversion"/>
  </si>
  <si>
    <t>Let tensor_a.new_tensor() be on tensor_a.device by default #144958</t>
    <phoneticPr fontId="1" type="noConversion"/>
  </si>
  <si>
    <t>torch/csrc/utils/tensor_new.cpp</t>
    <phoneticPr fontId="1" type="noConversion"/>
  </si>
  <si>
    <t>[dynamo] Support equality comparison between Tensor and None #138289</t>
    <phoneticPr fontId="1" type="noConversion"/>
  </si>
  <si>
    <t>[dynamo] Properly branch on an unspecialized NN module #145786</t>
    <phoneticPr fontId="1" type="noConversion"/>
  </si>
  <si>
    <t>[dynamo][mappingproxy][inspect] Support existing types.MappingProxyType #147217</t>
    <phoneticPr fontId="1" type="noConversion"/>
  </si>
  <si>
    <t>torch/_dynamo/guards.py
torch/_dynamo/side_effects.py
torch/_dynamo/variables/builder.py
torch/_dynamo/variables/builtin.py
torch/_dynamo/variables/dicts.py
torch/csrc/dynamo/guards.cpp</t>
    <phoneticPr fontId="1" type="noConversion"/>
  </si>
  <si>
    <t>Correctly propagate exception to parent tx #146502</t>
    <phoneticPr fontId="1" type="noConversion"/>
  </si>
  <si>
    <t>[dynamo] Account for function id reuse in relevant Dynamo decorators #148385</t>
    <phoneticPr fontId="1" type="noConversion"/>
  </si>
  <si>
    <t>torch/_dynamo/decorators.py</t>
    <phoneticPr fontId="1" type="noConversion"/>
  </si>
  <si>
    <t>[Dynamo] Fix AssertionError when dynamo traces torch.functional.xxx() functions #148075</t>
    <phoneticPr fontId="1" type="noConversion"/>
  </si>
  <si>
    <t>fix dynamic float when dynamic=True #149564</t>
    <phoneticPr fontId="1" type="noConversion"/>
  </si>
  <si>
    <t>Add is_batchedtensor to dynamo builder #149541</t>
    <phoneticPr fontId="1" type="noConversion"/>
  </si>
  <si>
    <t>[DYNAMO] [BUG FIX] correct casting to boolean for TORCH_COMPILE_DISABLE #149852</t>
    <phoneticPr fontId="1" type="noConversion"/>
  </si>
  <si>
    <t>torch/_dynamo/config.py</t>
    <phoneticPr fontId="1" type="noConversion"/>
  </si>
  <si>
    <t>[Dynamo] Fix dict.items() return type #150112</t>
    <phoneticPr fontId="1" type="noConversion"/>
  </si>
  <si>
    <t>[dynamic shapes] be less aggressive with runtime assert CSE for bounds #151590</t>
    <phoneticPr fontId="1" type="noConversion"/>
  </si>
  <si>
    <t>torch/_export/serde/serialize.py
torch/fx/passes/runtime_assert.py</t>
    <phoneticPr fontId="1" type="noConversion"/>
  </si>
  <si>
    <t>[dynamo] Support delattr on result of torch.compile(module) #152741</t>
    <phoneticPr fontId="1" type="noConversion"/>
  </si>
  <si>
    <t>[torch.compile] handle a custom __delattr__ method correctly #150899</t>
    <phoneticPr fontId="1" type="noConversion"/>
  </si>
  <si>
    <t>torch/_dynamo/variables/builtin.py
torch/_dynamo/variables/tensor.py
torch/_dynamo/variables/user_defined.py</t>
    <phoneticPr fontId="1" type="noConversion"/>
  </si>
  <si>
    <t>[dynamo][super variable] Fix bug to use correct source #151154</t>
    <phoneticPr fontId="1" type="noConversion"/>
  </si>
  <si>
    <t>torch/_dynamo/guards.py
torch/_dynamo/source.py
torch/_dynamo/variables/misc.py
torch/csrc/dynamo/guards.cpp</t>
    <phoneticPr fontId="1" type="noConversion"/>
  </si>
  <si>
    <t>[dynamo] Graph break on torch.Tensor.data assignment with mismatched dtype #156623</t>
    <phoneticPr fontId="1" type="noConversion"/>
  </si>
  <si>
    <t>torch/_dynamo/graph_break_registry.json
torch/_dynamo/variables/builtin.py</t>
    <phoneticPr fontId="1" type="noConversion"/>
  </si>
  <si>
    <t>[dynamic shapes] guard_or_false for cat, repeat #155290</t>
    <phoneticPr fontId="1" type="noConversion"/>
  </si>
  <si>
    <t>[dynamo] raise observed exception for module attribute errors #153659</t>
    <phoneticPr fontId="1" type="noConversion"/>
  </si>
  <si>
    <t>[dynamo] Properly handle torch.script.jit under @staticmethod #153984</t>
    <phoneticPr fontId="1" type="noConversion"/>
  </si>
  <si>
    <t>[aotd] Support mutations in reordering_to_mimic_autograd_engine #155353
[aotd] Support mutations of the same input in fw and bw #155354</t>
    <phoneticPr fontId="1" type="noConversion"/>
  </si>
  <si>
    <t>[dynamo] fix segfault due to dangling CacheEntry backend pointer #156527</t>
    <phoneticPr fontId="1" type="noConversion"/>
  </si>
  <si>
    <t>torch/_dynamo/eval_frame.py
torch/csrc/dynamo/cache_entry.cpp
torch/csrc/dynamo/cache_entry.h
torch/csrc/dynamo/extra_state.cpp</t>
    <phoneticPr fontId="1" type="noConversion"/>
  </si>
  <si>
    <t>[dynamo] Add immutable pytree to trace_rules #156772</t>
    <phoneticPr fontId="1" type="noConversion"/>
  </si>
  <si>
    <t>[dynamo] Support tracing of functools.lru_cached method #156125</t>
    <phoneticPr fontId="1" type="noConversion"/>
  </si>
  <si>
    <t>torch/_dynamo/variables/__init__.py
torch/_dynamo/variables/functions.py
torch/_dynamo/variables/user_defined.py</t>
    <phoneticPr fontId="1" type="noConversion"/>
  </si>
  <si>
    <t>[dynamo] Fix issue with tensors passed as view() shapes #156928</t>
    <phoneticPr fontId="1" type="noConversion"/>
  </si>
  <si>
    <t>Guards</t>
    <phoneticPr fontId="1" type="noConversion"/>
  </si>
  <si>
    <t>device-dependent branching and global state mutation</t>
    <phoneticPr fontId="1" type="noConversion"/>
  </si>
  <si>
    <t>Side-effect</t>
    <phoneticPr fontId="1" type="noConversion"/>
  </si>
  <si>
    <t>decorating nested function inside compiled function</t>
    <phoneticPr fontId="1" type="noConversion"/>
  </si>
  <si>
    <t>Pre-dispatch</t>
    <phoneticPr fontId="1" type="noConversion"/>
  </si>
  <si>
    <t>Bytecode execution</t>
    <phoneticPr fontId="1" type="noConversion"/>
  </si>
  <si>
    <t>Ambient context changes lack guards; constant-folded autocast state persists across runs, yielding dtype mismatches versus eager execution.</t>
    <phoneticPr fontId="1" type="noConversion"/>
  </si>
  <si>
    <t>with-statement on user-defined context manager</t>
    <phoneticPr fontId="1" type="noConversion"/>
  </si>
  <si>
    <t>calling synthesized constructor on decorated class instances</t>
    <phoneticPr fontId="1" type="noConversion"/>
  </si>
  <si>
    <t>type check on generator-produced iterator</t>
    <phoneticPr fontId="1" type="noConversion"/>
  </si>
  <si>
    <t>scalar arguments with an out-parameter</t>
    <phoneticPr fontId="1" type="noConversion"/>
  </si>
  <si>
    <t>kwargs expansion with reserved identifier names</t>
    <phoneticPr fontId="1" type="noConversion"/>
  </si>
  <si>
    <t>context manager mutating global state during tracing</t>
    <phoneticPr fontId="1" type="noConversion"/>
  </si>
  <si>
    <t>decorator stacking with conflicting compilation directives</t>
    <phoneticPr fontId="1" type="noConversion"/>
  </si>
  <si>
    <t>invoking method returning non-tensor value</t>
    <phoneticPr fontId="1" type="noConversion"/>
  </si>
  <si>
    <t>Value tracking fails to drop dead intermediates, emitting a redundant kernel and unused buffer.</t>
    <phoneticPr fontId="1" type="noConversion"/>
  </si>
  <si>
    <t>mixed scalar-tensor arithmetic under higher-order transform</t>
    <phoneticPr fontId="1" type="noConversion"/>
  </si>
  <si>
    <t>using per-instance state within compiled method</t>
    <phoneticPr fontId="1" type="noConversion"/>
  </si>
  <si>
    <t>temporarily replacing object attributes during method invocation</t>
    <phoneticPr fontId="1" type="noConversion"/>
  </si>
  <si>
    <t>entering user-defined context manager during compilation</t>
    <phoneticPr fontId="1" type="noConversion"/>
  </si>
  <si>
    <t>expanding mapping into function call keywords</t>
    <phoneticPr fontId="1" type="noConversion"/>
  </si>
  <si>
    <t>calling a builtin iterator with multiple iterables</t>
    <phoneticPr fontId="1" type="noConversion"/>
  </si>
  <si>
    <t>constructor override with parent delegation</t>
    <phoneticPr fontId="1" type="noConversion"/>
  </si>
  <si>
    <t>mutating object attribute across successive calls</t>
    <phoneticPr fontId="1" type="noConversion"/>
  </si>
  <si>
    <t>iterating with higher-order lazy iterator in loop</t>
    <phoneticPr fontId="1" type="noConversion"/>
  </si>
  <si>
    <t>nested function chain overspecializes across stack frames</t>
    <phoneticPr fontId="1" type="noConversion"/>
  </si>
  <si>
    <t>invoking magic method on a subclassed object</t>
    <phoneticPr fontId="1" type="noConversion"/>
  </si>
  <si>
    <t>mutating captured object attributes post-compilation</t>
    <phoneticPr fontId="1" type="noConversion"/>
  </si>
  <si>
    <t>in-place mutation of tensor rank/shape</t>
    <phoneticPr fontId="1" type="noConversion"/>
  </si>
  <si>
    <t>attribute presence check on tracked tensor object</t>
    <phoneticPr fontId="1" type="noConversion"/>
  </si>
  <si>
    <t>mutating a tensor via output argument with mismatched shape</t>
    <phoneticPr fontId="1" type="noConversion"/>
  </si>
  <si>
    <t>evaluating built-in identity in conditional</t>
    <phoneticPr fontId="1" type="noConversion"/>
  </si>
  <si>
    <t>invoking built-in conversion on user-defined object</t>
    <phoneticPr fontId="1" type="noConversion"/>
  </si>
  <si>
    <t>instantiating a dictionary subclass with implicit value factory</t>
    <phoneticPr fontId="1" type="noConversion"/>
  </si>
  <si>
    <t>calling unmodeled method on a built-in container</t>
    <phoneticPr fontId="1" type="noConversion"/>
  </si>
  <si>
    <t>decorator-based context manager in with-block</t>
    <phoneticPr fontId="1" type="noConversion"/>
  </si>
  <si>
    <t>creating and discarding object instance in loop</t>
    <phoneticPr fontId="1" type="noConversion"/>
  </si>
  <si>
    <t>changing compilation settings across successive invocations</t>
    <phoneticPr fontId="1" type="noConversion"/>
  </si>
  <si>
    <t>Cache key omits configuration; stale graph reused despite option changes, yielding behavior inconsistent with requested settings.</t>
    <phoneticPr fontId="1" type="noConversion"/>
  </si>
  <si>
    <t>Autocast state not preserved across a graph break in compiled autograd, producing an invalid dtype object and internal error.</t>
    <phoneticPr fontId="1" type="noConversion"/>
  </si>
  <si>
    <t>using lazy plugin discovery for backend listing</t>
    <phoneticPr fontId="1" type="noConversion"/>
  </si>
  <si>
    <t>mutating module-global state via imported function calls</t>
    <phoneticPr fontId="1" type="noConversion"/>
  </si>
  <si>
    <t>calling operator with Python scalar argument</t>
    <phoneticPr fontId="1" type="noConversion"/>
  </si>
  <si>
    <t>attribute existence check on non-modeled module object</t>
    <phoneticPr fontId="1" type="noConversion"/>
  </si>
  <si>
    <t>try/except around method call raising exception</t>
    <phoneticPr fontId="1" type="noConversion"/>
  </si>
  <si>
    <t>attribute introspection on tensor-like object inside differentiable path</t>
    <phoneticPr fontId="1" type="noConversion"/>
  </si>
  <si>
    <t>accessing nonexistent attribute inside exception handling</t>
    <phoneticPr fontId="1" type="noConversion"/>
  </si>
  <si>
    <t>mixing tensors and non-tensors in returned structure</t>
    <phoneticPr fontId="1" type="noConversion"/>
  </si>
  <si>
    <t>mismatched function signature and provided inputs</t>
    <phoneticPr fontId="1" type="noConversion"/>
  </si>
  <si>
    <t>instantiating a metaclass-defined mapping type</t>
    <phoneticPr fontId="1" type="noConversion"/>
  </si>
  <si>
    <t>mutating container with potential exception on missing key</t>
    <phoneticPr fontId="1" type="noConversion"/>
  </si>
  <si>
    <t>mutating container during generator iteration</t>
    <phoneticPr fontId="1" type="noConversion"/>
  </si>
  <si>
    <t>Compiler misinterprets generator evaluation order, ignoring interleaved container state updates.</t>
    <phoneticPr fontId="1" type="noConversion"/>
  </si>
  <si>
    <t>mutating global map keyed by non-serializable value</t>
    <phoneticPr fontId="1" type="noConversion"/>
  </si>
  <si>
    <t>overriding operator method on tuple-like subclass</t>
    <phoneticPr fontId="1" type="noConversion"/>
  </si>
  <si>
    <t>reflecting container type and constructing new instance</t>
    <phoneticPr fontId="1" type="noConversion"/>
  </si>
  <si>
    <t>accessing property-decorated attribute on a class</t>
    <phoneticPr fontId="1" type="noConversion"/>
  </si>
  <si>
    <t>using a custom context manager with a with-statement</t>
    <phoneticPr fontId="1" type="noConversion"/>
  </si>
  <si>
    <t>capturing closure variable in nested lambda</t>
    <phoneticPr fontId="1" type="noConversion"/>
  </si>
  <si>
    <t>in-place mutation inside custom gradient wrapper</t>
    <phoneticPr fontId="1" type="noConversion"/>
  </si>
  <si>
    <t>Forward inlined without no-grad context mis-models autograd state; out-variant observes requires-grad tensors and raises during compilation.</t>
    <phoneticPr fontId="1" type="noConversion"/>
  </si>
  <si>
    <t>attaching dynamic attribute to object and calling it</t>
    <phoneticPr fontId="1" type="noConversion"/>
  </si>
  <si>
    <t>attribute access returns mapping value</t>
    <phoneticPr fontId="1" type="noConversion"/>
  </si>
  <si>
    <t>subclassed container replaces module parameter mapping</t>
    <phoneticPr fontId="1" type="noConversion"/>
  </si>
  <si>
    <t>invoking a returned nested closure capturing outer variable</t>
    <phoneticPr fontId="1" type="noConversion"/>
  </si>
  <si>
    <t>vectorized mapping over input with varying batch dimension</t>
    <phoneticPr fontId="1" type="noConversion"/>
  </si>
  <si>
    <t>returning closure that captures outer-scope variable</t>
    <phoneticPr fontId="1" type="noConversion"/>
  </si>
  <si>
    <t>assigning bound method from another instance</t>
    <phoneticPr fontId="1" type="noConversion"/>
  </si>
  <si>
    <t>replacing internal container with subclassed mapping type</t>
    <phoneticPr fontId="1" type="noConversion"/>
  </si>
  <si>
    <t>branching on device-specific type string</t>
    <phoneticPr fontId="1" type="noConversion"/>
  </si>
  <si>
    <t>multiple closures capture and mutate same nonlocal variable</t>
    <phoneticPr fontId="1" type="noConversion"/>
  </si>
  <si>
    <t>Wrapper attribute resolution assumes internal fields exist; pre-init attribute queries recurse endlessly, causing a crash.</t>
    <phoneticPr fontId="1" type="noConversion"/>
  </si>
  <si>
    <t>invoking state-changing method on a wrapper object</t>
    <phoneticPr fontId="1" type="noConversion"/>
  </si>
  <si>
    <t>Mode switch on compiled wrapper doesn't update internal training state due to missing side-effect modeling.</t>
    <phoneticPr fontId="1" type="noConversion"/>
  </si>
  <si>
    <t>custom attribute access in an object</t>
    <phoneticPr fontId="1" type="noConversion"/>
  </si>
  <si>
    <t>container of tensors passed to in-place operation</t>
    <phoneticPr fontId="1" type="noConversion"/>
  </si>
  <si>
    <t>deferred initialization changes object classification across traces</t>
    <phoneticPr fontId="1" type="noConversion"/>
  </si>
  <si>
    <t>capturing multiple parameters with differing shapes</t>
    <phoneticPr fontId="1" type="noConversion"/>
  </si>
  <si>
    <t>shadowing method name with instance attribute</t>
    <phoneticPr fontId="1" type="noConversion"/>
  </si>
  <si>
    <t>magic dispatch inside a context manager</t>
    <phoneticPr fontId="1" type="noConversion"/>
  </si>
  <si>
    <t>reusing compiled method across instances with varying parameter shapes</t>
    <phoneticPr fontId="1" type="noConversion"/>
  </si>
  <si>
    <t>binding non-constant object via partial application</t>
    <phoneticPr fontId="1" type="noConversion"/>
  </si>
  <si>
    <t>reading inherited attribute missing from class dictionary</t>
    <phoneticPr fontId="1" type="noConversion"/>
  </si>
  <si>
    <t>reading mutable attribute during graph capture</t>
    <phoneticPr fontId="1" type="noConversion"/>
  </si>
  <si>
    <t>attribute access on tuple-record object</t>
    <phoneticPr fontId="1" type="noConversion"/>
  </si>
  <si>
    <t>class attribute mutation within mode-dispatched method call</t>
    <phoneticPr fontId="1" type="noConversion"/>
  </si>
  <si>
    <t>in-place mutation of function argument inside callback</t>
    <phoneticPr fontId="1" type="noConversion"/>
  </si>
  <si>
    <t>class with multiple inheritance combining mapping and module</t>
    <phoneticPr fontId="1" type="noConversion"/>
  </si>
  <si>
    <t>intercepting tensor methods through dynamic dispatch override</t>
    <phoneticPr fontId="1" type="noConversion"/>
  </si>
  <si>
    <t>mutating container using non-materialized iterator input</t>
    <phoneticPr fontId="1" type="noConversion"/>
  </si>
  <si>
    <t>attribute assignment on mutable mapping inside context manager</t>
    <phoneticPr fontId="1" type="noConversion"/>
  </si>
  <si>
    <t>using library predicate in control flow</t>
    <phoneticPr fontId="1" type="noConversion"/>
  </si>
  <si>
    <t>wrapping nested function with metadata-preserving decorator</t>
    <phoneticPr fontId="1" type="noConversion"/>
  </si>
  <si>
    <t>Mutation tracking around custom autograd boundaries misflags leaf updates, causing compiled mode to reject code eager permits.</t>
    <phoneticPr fontId="1" type="noConversion"/>
  </si>
  <si>
    <t>broadcasted arithmetic with unknown symbolic dimension</t>
    <phoneticPr fontId="1" type="noConversion"/>
  </si>
  <si>
    <t>Fullgraph stride-based comparisons require guards; unbacked symbolic shapes can’t be validated, causing a compile-time exception.</t>
    <phoneticPr fontId="1" type="noConversion"/>
  </si>
  <si>
    <t>using user-defined context manager</t>
    <phoneticPr fontId="1" type="noConversion"/>
  </si>
  <si>
    <t>mutating global in nested closure via cross-module call</t>
    <phoneticPr fontId="1" type="noConversion"/>
  </si>
  <si>
    <t>mutating object attribute dictionary via item assignment</t>
    <phoneticPr fontId="1" type="noConversion"/>
  </si>
  <si>
    <t>symbolic integer arithmetic in shape expressions</t>
    <phoneticPr fontId="1" type="noConversion"/>
  </si>
  <si>
    <t>executing nested context alters global state observed by guards</t>
    <phoneticPr fontId="1" type="noConversion"/>
  </si>
  <si>
    <t>calling two-argument builtin on primitive value</t>
    <phoneticPr fontId="1" type="noConversion"/>
  </si>
  <si>
    <t>implicit type coercion during graph capture</t>
    <phoneticPr fontId="1" type="noConversion"/>
  </si>
  <si>
    <t>inequality comparison with None in control flow</t>
    <phoneticPr fontId="1" type="noConversion"/>
  </si>
  <si>
    <t>using object truthiness as branch condition</t>
    <phoneticPr fontId="1" type="noConversion"/>
  </si>
  <si>
    <t>using immutable mapping view in argument binding</t>
    <phoneticPr fontId="1" type="noConversion"/>
  </si>
  <si>
    <t>graph break inside with statement</t>
    <phoneticPr fontId="1" type="noConversion"/>
  </si>
  <si>
    <t>Identity-keyed registry persists across deletions; reused id marks new object incorrectly, altering in-graph classification and compiled graph behavior.</t>
    <phoneticPr fontId="1" type="noConversion"/>
  </si>
  <si>
    <t>compiling external function object</t>
    <phoneticPr fontId="1" type="noConversion"/>
  </si>
  <si>
    <t>varying primitive literal argument across calls</t>
    <phoneticPr fontId="1" type="noConversion"/>
  </si>
  <si>
    <t>library predicate returning boolean inside compiled region</t>
    <phoneticPr fontId="1" type="noConversion"/>
  </si>
  <si>
    <t>string truthiness in conditional gating</t>
    <phoneticPr fontId="1" type="noConversion"/>
  </si>
  <si>
    <t>String-valued environment flag evaluated truthy, disabling compilation pre-dispatch regardless of intended 0/false setting.</t>
    <phoneticPr fontId="1" type="noConversion"/>
  </si>
  <si>
    <t>returning a container view object</t>
    <phoneticPr fontId="1" type="noConversion"/>
  </si>
  <si>
    <t>calling magic method on tensor subclass</t>
    <phoneticPr fontId="1" type="noConversion"/>
  </si>
  <si>
    <t>asserting relation between computed value and tensor dimension</t>
    <phoneticPr fontId="1" type="noConversion"/>
  </si>
  <si>
    <t>Relational shape constraint captured only as a guard isn't propagated to symbolic analysis, causing data-dependent guard failure during compilation.</t>
    <phoneticPr fontId="1" type="noConversion"/>
  </si>
  <si>
    <t>mutating attributes on a wrapped object</t>
    <phoneticPr fontId="1" type="noConversion"/>
  </si>
  <si>
    <t>Wrapper around compiled module fails to propagate dynamic attribute changes; attribute removal later raises, breaking offload orchestration.</t>
    <phoneticPr fontId="1" type="noConversion"/>
  </si>
  <si>
    <t>overriding a magic method in a class</t>
    <phoneticPr fontId="1" type="noConversion"/>
  </si>
  <si>
    <t>Changing dtype via attribute mutation is mis-modeled, causing fake set_ to error during compilation.</t>
    <phoneticPr fontId="1" type="noConversion"/>
  </si>
  <si>
    <t>data-dependent dimension used in compile-time guard</t>
    <phoneticPr fontId="1" type="noConversion"/>
  </si>
  <si>
    <t>exception from attribute access in try-except</t>
    <phoneticPr fontId="1" type="noConversion"/>
  </si>
  <si>
    <t>loading attribute yields callable missing expected name metadata</t>
    <phoneticPr fontId="1" type="noConversion"/>
  </si>
  <si>
    <t>stateful tensor mutation across differentiation phases</t>
    <phoneticPr fontId="1" type="noConversion"/>
  </si>
  <si>
    <t>resetting global compiler state then reusing compiled callable</t>
    <phoneticPr fontId="1" type="noConversion"/>
  </si>
  <si>
    <t>returning list output from function</t>
    <phoneticPr fontId="1" type="noConversion"/>
  </si>
  <si>
    <t>passing dynamic tensor scalars in shape-defining list</t>
    <phoneticPr fontId="1" type="noConversion"/>
  </si>
  <si>
    <t>trigger</t>
    <phoneticPr fontId="1" type="noConversion"/>
  </si>
  <si>
    <t>optimization</t>
    <phoneticPr fontId="1" type="noConversion"/>
  </si>
  <si>
    <t>trigger categorize</t>
    <phoneticPr fontId="1" type="noConversion"/>
  </si>
  <si>
    <t>Operator dispatch for user-defined tuple-like objects is simplified to built-in tuple  during compilation, ignoring overridden methods.</t>
  </si>
  <si>
    <t xml:space="preserve">inequality using overridden equality </t>
  </si>
  <si>
    <t>Implicit coercion during capture alters device placement , diverging from eager execution.</t>
  </si>
  <si>
    <t>User-defined context manager  aren't captured during symbolic bytecode execution, aborting compilation.</t>
  </si>
  <si>
    <t xml:space="preserve">context manager overriding operator dispatch </t>
  </si>
  <si>
    <t>Constant folding ignores try/except ; exceptions during folding abort compilation, breaking intended catch-and-default behavior.</t>
  </si>
  <si>
    <t>7.1 Overspecialization of Mutable or Ephemeral State</t>
  </si>
  <si>
    <t>7.2 Overspecialization of Dynamic Shapes</t>
  </si>
  <si>
    <t>7.3 Missing or Incomplete Guards</t>
  </si>
  <si>
    <r>
      <rPr>
        <sz val="8"/>
        <color theme="1"/>
        <rFont val="宋体"/>
        <family val="3"/>
        <charset val="134"/>
      </rPr>
      <t>不是对应的</t>
    </r>
    <r>
      <rPr>
        <sz val="8"/>
        <color theme="1"/>
        <rFont val="Times New Roman"/>
        <family val="1"/>
      </rPr>
      <t xml:space="preserve">PR, </t>
    </r>
    <r>
      <rPr>
        <sz val="8"/>
        <color theme="1"/>
        <rFont val="宋体"/>
        <family val="3"/>
        <charset val="134"/>
      </rPr>
      <t>用一个新</t>
    </r>
    <r>
      <rPr>
        <sz val="8"/>
        <color theme="1"/>
        <rFont val="Times New Roman"/>
        <family val="1"/>
      </rPr>
      <t xml:space="preserve"> issue </t>
    </r>
    <r>
      <rPr>
        <sz val="8"/>
        <color theme="1"/>
        <rFont val="宋体"/>
        <family val="3"/>
        <charset val="134"/>
      </rPr>
      <t>来</t>
    </r>
    <r>
      <rPr>
        <sz val="8"/>
        <color theme="1"/>
        <rFont val="Times New Roman"/>
        <family val="1"/>
      </rPr>
      <t xml:space="preserve"> track </t>
    </r>
    <r>
      <rPr>
        <sz val="8"/>
        <color theme="1"/>
        <rFont val="宋体"/>
        <family val="3"/>
        <charset val="134"/>
      </rPr>
      <t>问题</t>
    </r>
    <phoneticPr fontId="1" type="noConversion"/>
  </si>
  <si>
    <r>
      <rPr>
        <sz val="8"/>
        <color rgb="FF00B050"/>
        <rFont val="Times New Roman"/>
        <family val="1"/>
      </rPr>
      <t>Synthesized constructor</t>
    </r>
    <r>
      <rPr>
        <sz val="8"/>
        <color theme="1"/>
        <rFont val="Times New Roman"/>
        <family val="1"/>
      </rPr>
      <t xml:space="preserve"> is skipped during symbolic instantiation, leaving fields unset and causing attribute access to fail in comparisons.</t>
    </r>
    <phoneticPr fontId="1" type="noConversion"/>
  </si>
  <si>
    <r>
      <t xml:space="preserve">Tracing a delegated constructor triggers </t>
    </r>
    <r>
      <rPr>
        <sz val="8"/>
        <color rgb="FF00B050"/>
        <rFont val="Times New Roman"/>
        <family val="1"/>
      </rPr>
      <t>hash on a partially initialized instance</t>
    </r>
    <r>
      <rPr>
        <sz val="8"/>
        <color theme="1"/>
        <rFont val="Times New Roman"/>
        <family val="1"/>
      </rPr>
      <t>, causing premature attribute access and failure.</t>
    </r>
    <phoneticPr fontId="1" type="noConversion"/>
  </si>
  <si>
    <r>
      <t xml:space="preserve">Dynamo truthiness handling calls user-defined methods on unspecialized modules, causing AttributeError from </t>
    </r>
    <r>
      <rPr>
        <sz val="8"/>
        <color rgb="FF00B050"/>
        <rFont val="Times New Roman"/>
        <family val="1"/>
      </rPr>
      <t>unmodeled initialization state</t>
    </r>
    <r>
      <rPr>
        <sz val="8"/>
        <color theme="1"/>
        <rFont val="Times New Roman"/>
        <family val="1"/>
      </rPr>
      <t>.</t>
    </r>
    <phoneticPr fontId="1" type="noConversion"/>
  </si>
  <si>
    <r>
      <t>hasattr</t>
    </r>
    <r>
      <rPr>
        <sz val="8"/>
        <color theme="1"/>
        <rFont val="宋体"/>
        <family val="3"/>
        <charset val="134"/>
      </rPr>
      <t>和</t>
    </r>
    <r>
      <rPr>
        <sz val="8"/>
        <color theme="1"/>
        <rFont val="Times New Roman"/>
        <family val="1"/>
      </rPr>
      <t>getattr</t>
    </r>
    <r>
      <rPr>
        <sz val="8"/>
        <color theme="1"/>
        <rFont val="宋体"/>
        <family val="3"/>
        <charset val="134"/>
      </rPr>
      <t>问题</t>
    </r>
    <r>
      <rPr>
        <sz val="8"/>
        <color theme="1"/>
        <rFont val="Times New Roman"/>
        <family val="1"/>
      </rPr>
      <t xml:space="preserve">, PR #130794 </t>
    </r>
    <r>
      <rPr>
        <sz val="8"/>
        <color theme="1"/>
        <rFont val="宋体"/>
        <family val="3"/>
        <charset val="134"/>
      </rPr>
      <t>解决这一类问题</t>
    </r>
    <phoneticPr fontId="1" type="noConversion"/>
  </si>
  <si>
    <r>
      <rPr>
        <sz val="8"/>
        <color rgb="FF00B050"/>
        <rFont val="Times New Roman"/>
        <family val="1"/>
      </rPr>
      <t>Attribute existence checks</t>
    </r>
    <r>
      <rPr>
        <sz val="8"/>
        <color theme="1"/>
        <rFont val="Times New Roman"/>
        <family val="1"/>
      </rPr>
      <t xml:space="preserve"> on tensors aren’t modeled, causing Unsupported during symbolic bytecode execution and compilation failure.</t>
    </r>
    <phoneticPr fontId="1" type="noConversion"/>
  </si>
  <si>
    <r>
      <t xml:space="preserve">Dynamo lacks modeling for </t>
    </r>
    <r>
      <rPr>
        <sz val="8"/>
        <color rgb="FF00B050"/>
        <rFont val="Times New Roman"/>
        <family val="1"/>
      </rPr>
      <t>attribute tests on generic Python modules</t>
    </r>
    <r>
      <rPr>
        <sz val="8"/>
        <color theme="1"/>
        <rFont val="Times New Roman"/>
        <family val="1"/>
      </rPr>
      <t>, raising Unsupported during bytecode tracing and aborting compilation.</t>
    </r>
    <phoneticPr fontId="1" type="noConversion"/>
  </si>
  <si>
    <r>
      <rPr>
        <sz val="8"/>
        <color rgb="FF00B050"/>
        <rFont val="Times New Roman"/>
        <family val="1"/>
      </rPr>
      <t>Custom parameter container</t>
    </r>
    <r>
      <rPr>
        <sz val="8"/>
        <color theme="1"/>
        <rFont val="Times New Roman"/>
        <family val="1"/>
      </rPr>
      <t xml:space="preserve"> isn’t modeled as constant, causing attribute resolution to graph-break and prevent compilation.</t>
    </r>
    <phoneticPr fontId="1" type="noConversion"/>
  </si>
  <si>
    <r>
      <rPr>
        <sz val="8"/>
        <color rgb="FF00B050"/>
        <rFont val="Times New Roman"/>
        <family val="1"/>
      </rPr>
      <t>Custom mapping for module parameters</t>
    </r>
    <r>
      <rPr>
        <sz val="8"/>
        <color theme="1"/>
        <rFont val="Times New Roman"/>
        <family val="1"/>
      </rPr>
      <t xml:space="preserve"> is modeled as a MutableMappingVariable lacking method access, causing an attribute error during compilation.</t>
    </r>
    <phoneticPr fontId="1" type="noConversion"/>
  </si>
  <si>
    <r>
      <t xml:space="preserve">torch/_dynamo/eval_frame.py
</t>
    </r>
    <r>
      <rPr>
        <sz val="8"/>
        <color theme="1"/>
        <rFont val="宋体"/>
        <family val="3"/>
        <charset val="134"/>
      </rPr>
      <t>非对应</t>
    </r>
    <r>
      <rPr>
        <sz val="8"/>
        <color theme="1"/>
        <rFont val="Times New Roman"/>
        <family val="1"/>
      </rPr>
      <t xml:space="preserve">PR, </t>
    </r>
    <r>
      <rPr>
        <sz val="8"/>
        <color theme="1"/>
        <rFont val="宋体"/>
        <family val="3"/>
        <charset val="134"/>
      </rPr>
      <t>但应该解决此问题</t>
    </r>
    <phoneticPr fontId="1" type="noConversion"/>
  </si>
  <si>
    <r>
      <rPr>
        <sz val="8"/>
        <color rgb="FF00B050"/>
        <rFont val="Times New Roman"/>
        <family val="1"/>
      </rPr>
      <t>Dynamic attribute access</t>
    </r>
    <r>
      <rPr>
        <sz val="8"/>
        <color theme="1"/>
        <rFont val="Times New Roman"/>
        <family val="1"/>
      </rPr>
      <t xml:space="preserve"> cannot be symbolically modeled, forcing graph breaks that error </t>
    </r>
    <r>
      <rPr>
        <sz val="8"/>
        <color rgb="FF00B050"/>
        <rFont val="Times New Roman"/>
        <family val="1"/>
      </rPr>
      <t>under fullgraph compilation.</t>
    </r>
    <phoneticPr fontId="1" type="noConversion"/>
  </si>
  <si>
    <r>
      <t>Direct</t>
    </r>
    <r>
      <rPr>
        <sz val="8"/>
        <color rgb="FF00B050"/>
        <rFont val="Times New Roman"/>
        <family val="1"/>
      </rPr>
      <t xml:space="preserve"> attribute storage mutation</t>
    </r>
    <r>
      <rPr>
        <sz val="8"/>
        <color theme="1"/>
        <rFont val="Times New Roman"/>
        <family val="1"/>
      </rPr>
      <t xml:space="preserve"> via mapping write is unmodeled, causing a Dynamo graph break during compilation.</t>
    </r>
    <phoneticPr fontId="1" type="noConversion"/>
  </si>
  <si>
    <r>
      <rPr>
        <sz val="8"/>
        <color rgb="FF00B050"/>
        <rFont val="Times New Roman"/>
        <family val="1"/>
      </rPr>
      <t>Built-in attribute checks on tensors in backward</t>
    </r>
    <r>
      <rPr>
        <sz val="8"/>
        <color theme="1"/>
        <rFont val="Times New Roman"/>
        <family val="1"/>
      </rPr>
      <t xml:space="preserve"> aren't modeled, causing compilation failure.</t>
    </r>
    <phoneticPr fontId="1" type="noConversion"/>
  </si>
  <si>
    <r>
      <rPr>
        <sz val="8"/>
        <color rgb="FF00B050"/>
        <rFont val="Times New Roman"/>
        <family val="1"/>
      </rPr>
      <t>decorated</t>
    </r>
    <r>
      <rPr>
        <sz val="8"/>
        <color theme="1"/>
        <rFont val="Times New Roman"/>
        <family val="1"/>
      </rPr>
      <t xml:space="preserve"> method call via instance binding</t>
    </r>
    <phoneticPr fontId="1" type="noConversion"/>
  </si>
  <si>
    <r>
      <rPr>
        <sz val="8"/>
        <color rgb="FF00B050"/>
        <rFont val="Times New Roman"/>
        <family val="1"/>
      </rPr>
      <t>Descriptor</t>
    </r>
    <r>
      <rPr>
        <sz val="8"/>
        <color theme="1"/>
        <rFont val="Times New Roman"/>
        <family val="1"/>
      </rPr>
      <t xml:space="preserve"> binding for methods mis-modeled during bytecode tracing, causing instance to be returned instead of expected class result.</t>
    </r>
    <phoneticPr fontId="1" type="noConversion"/>
  </si>
  <si>
    <r>
      <t xml:space="preserve">Full-graph capture lacks modeling for </t>
    </r>
    <r>
      <rPr>
        <sz val="8"/>
        <color rgb="FF00B050"/>
        <rFont val="Times New Roman"/>
        <family val="1"/>
      </rPr>
      <t>subclass method dispatch</t>
    </r>
    <r>
      <rPr>
        <sz val="8"/>
        <color theme="1"/>
        <rFont val="Times New Roman"/>
        <family val="1"/>
      </rPr>
      <t>, causing compilation to abort.</t>
    </r>
    <phoneticPr fontId="1" type="noConversion"/>
  </si>
  <si>
    <r>
      <t xml:space="preserve">Dispatch override routes </t>
    </r>
    <r>
      <rPr>
        <sz val="8"/>
        <color rgb="FF00B050"/>
        <rFont val="Times New Roman"/>
        <family val="1"/>
      </rPr>
      <t>tensor method</t>
    </r>
    <r>
      <rPr>
        <sz val="8"/>
        <color theme="1"/>
        <rFont val="Times New Roman"/>
        <family val="1"/>
      </rPr>
      <t xml:space="preserve"> to unhandled C-extension builtin, causing Dynamo unsupported error and graph break.</t>
    </r>
    <phoneticPr fontId="1" type="noConversion"/>
  </si>
  <si>
    <r>
      <rPr>
        <sz val="8"/>
        <color rgb="FF00B050"/>
        <rFont val="Times New Roman"/>
        <family val="1"/>
      </rPr>
      <t>Tensor subclass</t>
    </r>
    <r>
      <rPr>
        <sz val="8"/>
        <color theme="1"/>
        <rFont val="Times New Roman"/>
        <family val="1"/>
      </rPr>
      <t xml:space="preserve"> loses tensor typing; operator modeled as generic object call, unsupported by Dynamo, causing graph break and compilation failure.</t>
    </r>
    <phoneticPr fontId="1" type="noConversion"/>
  </si>
  <si>
    <r>
      <t xml:space="preserve">Dynamo mismodels Python rich comparison fallback, ignoring </t>
    </r>
    <r>
      <rPr>
        <sz val="8"/>
        <color rgb="FF00B050"/>
        <rFont val="Times New Roman"/>
        <family val="1"/>
      </rPr>
      <t>overridden equality</t>
    </r>
    <r>
      <rPr>
        <sz val="8"/>
        <color theme="1"/>
        <rFont val="Times New Roman"/>
        <family val="1"/>
      </rPr>
      <t xml:space="preserve"> when evaluating inequality, leading to wrong boolean result.</t>
    </r>
    <phoneticPr fontId="1" type="noConversion"/>
  </si>
  <si>
    <r>
      <rPr>
        <sz val="8"/>
        <color rgb="FF00B050"/>
        <rFont val="Times New Roman"/>
        <family val="1"/>
      </rPr>
      <t>Custom attribute mutation</t>
    </r>
    <r>
      <rPr>
        <sz val="8"/>
        <color theme="1"/>
        <rFont val="Times New Roman"/>
        <family val="1"/>
      </rPr>
      <t xml:space="preserve"> handler is ignored due to incomplete side-effect modeling, leading to mismatched object state.</t>
    </r>
    <phoneticPr fontId="1" type="noConversion"/>
  </si>
  <si>
    <r>
      <t xml:space="preserve">Converting a traced tensor to a </t>
    </r>
    <r>
      <rPr>
        <sz val="8"/>
        <color rgb="FF00B050"/>
        <rFont val="Times New Roman"/>
        <family val="1"/>
      </rPr>
      <t>non-tensor</t>
    </r>
    <r>
      <rPr>
        <sz val="8"/>
        <color theme="1"/>
        <rFont val="Times New Roman"/>
        <family val="1"/>
      </rPr>
      <t xml:space="preserve"> is unsupported during symbolic execution, causing a compilation crash.</t>
    </r>
    <phoneticPr fontId="1" type="noConversion"/>
  </si>
  <si>
    <r>
      <t xml:space="preserve">Descriptor-backed class </t>
    </r>
    <r>
      <rPr>
        <sz val="8"/>
        <color rgb="FF00B050"/>
        <rFont val="Times New Roman"/>
        <family val="1"/>
      </rPr>
      <t>attribute treated as method</t>
    </r>
    <r>
      <rPr>
        <sz val="8"/>
        <color theme="1"/>
        <rFont val="Times New Roman"/>
        <family val="1"/>
      </rPr>
      <t xml:space="preserve"> during LOAD_ATTR, triggering assertion in TorchDynamo symbolic execution.</t>
    </r>
    <phoneticPr fontId="1" type="noConversion"/>
  </si>
  <si>
    <r>
      <t xml:space="preserve">Method copied between instances produces __self__ mismatch that Dynamo's </t>
    </r>
    <r>
      <rPr>
        <sz val="8"/>
        <color rgb="FF00B050"/>
        <rFont val="Times New Roman"/>
        <family val="1"/>
      </rPr>
      <t>bound-method modeling</t>
    </r>
    <r>
      <rPr>
        <sz val="8"/>
        <color theme="1"/>
        <rFont val="Times New Roman"/>
        <family val="1"/>
      </rPr>
      <t xml:space="preserve"> can't handle, causing compilation failure.</t>
    </r>
    <phoneticPr fontId="1" type="noConversion"/>
  </si>
  <si>
    <r>
      <rPr>
        <sz val="8"/>
        <color rgb="FF00B050"/>
        <rFont val="Times New Roman"/>
        <family val="1"/>
      </rPr>
      <t>Method decoration</t>
    </r>
    <r>
      <rPr>
        <sz val="8"/>
        <color theme="1"/>
        <rFont val="Times New Roman"/>
        <family val="1"/>
      </rPr>
      <t xml:space="preserve"> hides binding ; Dynamo models it as a plain function call, dropping self and raising argument mismatch.</t>
    </r>
    <phoneticPr fontId="1" type="noConversion"/>
  </si>
  <si>
    <r>
      <t xml:space="preserve">Symbolic interpreter cannot model </t>
    </r>
    <r>
      <rPr>
        <sz val="8"/>
        <color rgb="FF00B050"/>
        <rFont val="Times New Roman"/>
        <family val="1"/>
      </rPr>
      <t>mapping subclass construction</t>
    </r>
    <r>
      <rPr>
        <sz val="8"/>
        <color theme="1"/>
        <rFont val="Times New Roman"/>
        <family val="1"/>
      </rPr>
      <t xml:space="preserve"> and </t>
    </r>
    <r>
      <rPr>
        <sz val="8"/>
        <color rgb="FF00B050"/>
        <rFont val="Times New Roman"/>
        <family val="1"/>
      </rPr>
      <t>implicit entry creation</t>
    </r>
    <r>
      <rPr>
        <sz val="8"/>
        <color theme="1"/>
        <rFont val="Times New Roman"/>
        <family val="1"/>
      </rPr>
      <t>, leading to an unsupported call and abort.</t>
    </r>
    <phoneticPr fontId="1" type="noConversion"/>
  </si>
  <si>
    <r>
      <t xml:space="preserve">Unmodeled </t>
    </r>
    <r>
      <rPr>
        <sz val="8"/>
        <color rgb="FF00B050"/>
        <rFont val="Times New Roman"/>
        <family val="1"/>
      </rPr>
      <t>container method</t>
    </r>
    <r>
      <rPr>
        <sz val="8"/>
        <color theme="1"/>
        <rFont val="Times New Roman"/>
        <family val="1"/>
      </rPr>
      <t xml:space="preserve"> in symbolic execution causes compilation failure.</t>
    </r>
    <phoneticPr fontId="1" type="noConversion"/>
  </si>
  <si>
    <r>
      <rPr>
        <sz val="8"/>
        <color rgb="FF00B050"/>
        <rFont val="Times New Roman"/>
        <family val="1"/>
      </rPr>
      <t>Metaclass-based mapping class instantiation</t>
    </r>
    <r>
      <rPr>
        <sz val="8"/>
        <color theme="1"/>
        <rFont val="Times New Roman"/>
        <family val="1"/>
      </rPr>
      <t xml:space="preserve"> unsupported in Dynamo's call modeling, causing an Unsupported exception during compilation.</t>
    </r>
    <phoneticPr fontId="1" type="noConversion"/>
  </si>
  <si>
    <r>
      <t xml:space="preserve">Caching by shape hits unsupported constant handling; Dynamo cannot </t>
    </r>
    <r>
      <rPr>
        <sz val="8"/>
        <color rgb="FF00B050"/>
        <rFont val="Times New Roman"/>
        <family val="1"/>
      </rPr>
      <t>serialize shape keys</t>
    </r>
    <r>
      <rPr>
        <sz val="8"/>
        <color theme="1"/>
        <rFont val="Times New Roman"/>
        <family val="1"/>
      </rPr>
      <t>, causing assertion during code generation.</t>
    </r>
    <phoneticPr fontId="1" type="noConversion"/>
  </si>
  <si>
    <r>
      <rPr>
        <sz val="8"/>
        <color rgb="FF00B050"/>
        <rFont val="Times New Roman"/>
        <family val="1"/>
      </rPr>
      <t>Reflective container reconstruction</t>
    </r>
    <r>
      <rPr>
        <sz val="8"/>
        <color theme="1"/>
        <rFont val="Times New Roman"/>
        <family val="1"/>
      </rPr>
      <t xml:space="preserve"> confuses bytecode modeling; unsupported class access produces graph break and abort under fullgraph.</t>
    </r>
    <phoneticPr fontId="1" type="noConversion"/>
  </si>
  <si>
    <r>
      <t xml:space="preserve">Dynamo mishandles </t>
    </r>
    <r>
      <rPr>
        <sz val="8"/>
        <color rgb="FF00B050"/>
        <rFont val="Times New Roman"/>
        <family val="1"/>
      </rPr>
      <t>dict attribute retrieval</t>
    </r>
    <r>
      <rPr>
        <sz val="8"/>
        <color theme="1"/>
        <rFont val="Times New Roman"/>
        <family val="1"/>
      </rPr>
      <t>, wrapping returned dict as constant and asserting during compilation.</t>
    </r>
    <phoneticPr fontId="1" type="noConversion"/>
  </si>
  <si>
    <r>
      <rPr>
        <sz val="8"/>
        <color rgb="FF00B050"/>
        <rFont val="Times New Roman"/>
        <family val="1"/>
      </rPr>
      <t>Multiple inheritance</t>
    </r>
    <r>
      <rPr>
        <sz val="8"/>
        <color theme="1"/>
        <rFont val="Times New Roman"/>
        <family val="1"/>
      </rPr>
      <t xml:space="preserve"> causes object classified as module, not mapping; custom dict handling rejects, raising unsupported during bytecode modeling.</t>
    </r>
    <phoneticPr fontId="1" type="noConversion"/>
  </si>
  <si>
    <r>
      <rPr>
        <sz val="8"/>
        <color rgb="FF00B050"/>
        <rFont val="Times New Roman"/>
        <family val="1"/>
      </rPr>
      <t>Python mapping view</t>
    </r>
    <r>
      <rPr>
        <sz val="8"/>
        <color theme="1"/>
        <rFont val="Times New Roman"/>
        <family val="1"/>
      </rPr>
      <t xml:space="preserve"> is modeled as a tuple during compilation, yielding inconsistent results.</t>
    </r>
    <phoneticPr fontId="1" type="noConversion"/>
  </si>
  <si>
    <r>
      <t xml:space="preserve">Keyword expansion requires </t>
    </r>
    <r>
      <rPr>
        <sz val="8"/>
        <color rgb="FF00B050"/>
        <rFont val="Times New Roman"/>
        <family val="1"/>
      </rPr>
      <t>dict merge/update</t>
    </r>
    <r>
      <rPr>
        <sz val="8"/>
        <color theme="1"/>
        <rFont val="Times New Roman"/>
        <family val="1"/>
      </rPr>
      <t>; Dynamo lacks modeling for merging constant dicts with custom mappings, triggering an Unsupported error.</t>
    </r>
    <phoneticPr fontId="1" type="noConversion"/>
  </si>
  <si>
    <r>
      <rPr>
        <sz val="8"/>
        <color rgb="FF00B050"/>
        <rFont val="Times New Roman"/>
        <family val="1"/>
      </rPr>
      <t>Exception-raising container mutation</t>
    </r>
    <r>
      <rPr>
        <sz val="8"/>
        <color theme="1"/>
        <rFont val="Times New Roman"/>
        <family val="1"/>
      </rPr>
      <t xml:space="preserve"> isn't modeled, causing graph breaks and failure under fullgraph compilation.</t>
    </r>
    <phoneticPr fontId="1" type="noConversion"/>
  </si>
  <si>
    <r>
      <t xml:space="preserve">Compilation mis-models list arguments for </t>
    </r>
    <r>
      <rPr>
        <sz val="8"/>
        <color rgb="FF00B050"/>
        <rFont val="Times New Roman"/>
        <family val="1"/>
      </rPr>
      <t>vectorized in-place op</t>
    </r>
    <r>
      <rPr>
        <sz val="8"/>
        <color theme="1"/>
        <rFont val="Times New Roman"/>
        <family val="1"/>
      </rPr>
      <t>, causing FakeTensor dispatch to access attributes on lists.</t>
    </r>
    <phoneticPr fontId="1" type="noConversion"/>
  </si>
  <si>
    <r>
      <rPr>
        <sz val="8"/>
        <color rgb="FF00B050"/>
        <rFont val="Times New Roman"/>
        <family val="1"/>
      </rPr>
      <t>Iterator-based container mutation</t>
    </r>
    <r>
      <rPr>
        <sz val="8"/>
        <color theme="1"/>
        <rFont val="Times New Roman"/>
        <family val="1"/>
      </rPr>
      <t xml:space="preserve"> unsupported; bytecode modeling can't unpack iterator elements, causing compilation to abort.</t>
    </r>
    <phoneticPr fontId="1" type="noConversion"/>
  </si>
  <si>
    <r>
      <rPr>
        <sz val="8"/>
        <color rgb="FF00B050"/>
        <rFont val="Times New Roman"/>
        <family val="1"/>
      </rPr>
      <t>Attribute mutation on mapping</t>
    </r>
    <r>
      <rPr>
        <sz val="8"/>
        <color theme="1"/>
        <rFont val="Times New Roman"/>
        <family val="1"/>
      </rPr>
      <t xml:space="preserve"> during context exceeds compiler bytecode modeling, causing compilation abort.</t>
    </r>
    <phoneticPr fontId="1" type="noConversion"/>
  </si>
  <si>
    <r>
      <rPr>
        <sz val="8"/>
        <color rgb="FF00B050"/>
        <rFont val="Times New Roman"/>
        <family val="1"/>
      </rPr>
      <t>Iterator</t>
    </r>
    <r>
      <rPr>
        <sz val="8"/>
        <color theme="1"/>
        <rFont val="Times New Roman"/>
        <family val="1"/>
      </rPr>
      <t xml:space="preserve"> from a generator passed to a type check lacks compiler type info, aborting symbolic execution.</t>
    </r>
    <phoneticPr fontId="1" type="noConversion"/>
  </si>
  <si>
    <r>
      <rPr>
        <sz val="8"/>
        <color rgb="FF00B050"/>
        <rFont val="Times New Roman"/>
        <family val="1"/>
      </rPr>
      <t>iteratively build broadcasted tensor</t>
    </r>
    <r>
      <rPr>
        <sz val="8"/>
        <color theme="1"/>
        <rFont val="Times New Roman"/>
        <family val="1"/>
      </rPr>
      <t xml:space="preserve"> across dimensions</t>
    </r>
    <phoneticPr fontId="1" type="noConversion"/>
  </si>
  <si>
    <r>
      <t>Dynamo fails to model</t>
    </r>
    <r>
      <rPr>
        <sz val="8"/>
        <color rgb="FF00B050"/>
        <rFont val="Times New Roman"/>
        <family val="1"/>
      </rPr>
      <t xml:space="preserve"> multi-iterable builtin iteration</t>
    </r>
    <r>
      <rPr>
        <sz val="8"/>
        <color theme="1"/>
        <rFont val="Times New Roman"/>
        <family val="1"/>
      </rPr>
      <t>, yielding unsupported handler and fullgraph compilation abort.</t>
    </r>
    <phoneticPr fontId="1" type="noConversion"/>
  </si>
  <si>
    <r>
      <rPr>
        <sz val="8"/>
        <color rgb="FF00B050"/>
        <rFont val="Times New Roman"/>
        <family val="1"/>
      </rPr>
      <t>Higher-order iteration</t>
    </r>
    <r>
      <rPr>
        <sz val="8"/>
        <color theme="1"/>
        <rFont val="Times New Roman"/>
        <family val="1"/>
      </rPr>
      <t xml:space="preserve"> using</t>
    </r>
    <r>
      <rPr>
        <sz val="8"/>
        <color rgb="FF00B050"/>
        <rFont val="Times New Roman"/>
        <family val="1"/>
      </rPr>
      <t xml:space="preserve"> lazy iterable</t>
    </r>
    <r>
      <rPr>
        <sz val="8"/>
        <color theme="1"/>
        <rFont val="Times New Roman"/>
        <family val="1"/>
      </rPr>
      <t xml:space="preserve"> isn't modeled in bytecode interpreter, causing graph break during compilation.</t>
    </r>
    <phoneticPr fontId="1" type="noConversion"/>
  </si>
  <si>
    <r>
      <rPr>
        <sz val="8"/>
        <color rgb="FF00B050"/>
        <rFont val="Times New Roman"/>
        <family val="1"/>
      </rPr>
      <t>Python scalar argument</t>
    </r>
    <r>
      <rPr>
        <sz val="8"/>
        <color theme="1"/>
        <rFont val="Times New Roman"/>
        <family val="1"/>
      </rPr>
      <t xml:space="preserve"> triggers ref decomposition that accesses nonexistent shape attribute.</t>
    </r>
    <phoneticPr fontId="1" type="noConversion"/>
  </si>
  <si>
    <r>
      <t xml:space="preserve">Mis-modeled </t>
    </r>
    <r>
      <rPr>
        <sz val="8"/>
        <color rgb="FF00B050"/>
        <rFont val="Times New Roman"/>
        <family val="1"/>
      </rPr>
      <t>type string</t>
    </r>
    <r>
      <rPr>
        <sz val="8"/>
        <color theme="1"/>
        <rFont val="Times New Roman"/>
        <family val="1"/>
      </rPr>
      <t xml:space="preserve"> for nonstandard devices causes wrong branch selection under compilation.</t>
    </r>
    <phoneticPr fontId="1" type="noConversion"/>
  </si>
  <si>
    <r>
      <t xml:space="preserve">torch/_dynamo/variables/builder.py
</t>
    </r>
    <r>
      <rPr>
        <sz val="8"/>
        <color theme="1"/>
        <rFont val="宋体"/>
        <family val="3"/>
        <charset val="134"/>
      </rPr>
      <t>非对应</t>
    </r>
    <r>
      <rPr>
        <sz val="8"/>
        <color theme="1"/>
        <rFont val="Times New Roman"/>
        <family val="1"/>
      </rPr>
      <t xml:space="preserve">PR, </t>
    </r>
    <r>
      <rPr>
        <sz val="8"/>
        <color theme="1"/>
        <rFont val="宋体"/>
        <family val="3"/>
        <charset val="134"/>
      </rPr>
      <t>但应该解决此问题</t>
    </r>
    <phoneticPr fontId="1" type="noConversion"/>
  </si>
  <si>
    <r>
      <t xml:space="preserve">Dynamo </t>
    </r>
    <r>
      <rPr>
        <sz val="8"/>
        <color rgb="FF00B050"/>
        <rFont val="Times New Roman"/>
        <family val="1"/>
      </rPr>
      <t>misinterprets None</t>
    </r>
    <r>
      <rPr>
        <sz val="8"/>
        <color theme="1"/>
        <rFont val="Times New Roman"/>
        <family val="1"/>
      </rPr>
      <t xml:space="preserve"> inequality, invoking overloaded comparison and failing to model control-flow predicate during graph building.</t>
    </r>
    <phoneticPr fontId="1" type="noConversion"/>
  </si>
  <si>
    <r>
      <t xml:space="preserve">Vectorization with optional output axis forces a </t>
    </r>
    <r>
      <rPr>
        <sz val="8"/>
        <color rgb="FF00B050"/>
        <rFont val="Times New Roman"/>
        <family val="1"/>
      </rPr>
      <t>boolean library check</t>
    </r>
    <r>
      <rPr>
        <sz val="8"/>
        <color theme="1"/>
        <rFont val="Times New Roman"/>
        <family val="1"/>
      </rPr>
      <t>, which Dynamo can't trace, causing a fullgraph break and failure.</t>
    </r>
    <phoneticPr fontId="1" type="noConversion"/>
  </si>
  <si>
    <r>
      <rPr>
        <sz val="8"/>
        <color rgb="FF00B050"/>
        <rFont val="Times New Roman"/>
        <family val="1"/>
      </rPr>
      <t>Decorator-generated context manager</t>
    </r>
    <r>
      <rPr>
        <sz val="8"/>
        <color theme="1"/>
        <rFont val="Times New Roman"/>
        <family val="1"/>
      </rPr>
      <t xml:space="preserve"> is skipped; pre-dispatch context-handling gaps cause compilation to abort with Unsupported.</t>
    </r>
    <phoneticPr fontId="1" type="noConversion"/>
  </si>
  <si>
    <r>
      <t>Dynamo cannot model SETUP_WITH for</t>
    </r>
    <r>
      <rPr>
        <sz val="8"/>
        <color rgb="FFFF0000"/>
        <rFont val="Times New Roman"/>
        <family val="1"/>
      </rPr>
      <t xml:space="preserve"> user-defined managers</t>
    </r>
    <r>
      <rPr>
        <sz val="8"/>
        <color theme="1"/>
        <rFont val="Times New Roman"/>
        <family val="1"/>
      </rPr>
      <t>, causing a graph break and compilation abort.</t>
    </r>
    <phoneticPr fontId="1" type="noConversion"/>
  </si>
  <si>
    <r>
      <t xml:space="preserve">torch/_dynamo/symbolic_convert.py
torch/_dynamo/variables/functions.py
</t>
    </r>
    <r>
      <rPr>
        <sz val="8"/>
        <color theme="1"/>
        <rFont val="宋体"/>
        <family val="3"/>
        <charset val="134"/>
      </rPr>
      <t>非对应</t>
    </r>
    <r>
      <rPr>
        <sz val="8"/>
        <color theme="1"/>
        <rFont val="Times New Roman"/>
        <family val="1"/>
      </rPr>
      <t xml:space="preserve">PR, </t>
    </r>
    <r>
      <rPr>
        <sz val="8"/>
        <color theme="1"/>
        <rFont val="宋体"/>
        <family val="3"/>
        <charset val="134"/>
      </rPr>
      <t>但应该解决此问题</t>
    </r>
    <phoneticPr fontId="1" type="noConversion"/>
  </si>
  <si>
    <r>
      <rPr>
        <sz val="8"/>
        <color rgb="FFFF0000"/>
        <rFont val="Times New Roman"/>
        <family val="1"/>
      </rPr>
      <t>Misordered handling of with-block stack</t>
    </r>
    <r>
      <rPr>
        <sz val="8"/>
        <color theme="1"/>
        <rFont val="Times New Roman"/>
        <family val="1"/>
      </rPr>
      <t xml:space="preserve"> during bytecode emulation causes re-entrance failure when a graph break occurs, leading to crash.</t>
    </r>
    <phoneticPr fontId="1" type="noConversion"/>
  </si>
  <si>
    <r>
      <t xml:space="preserve">graph break inside </t>
    </r>
    <r>
      <rPr>
        <sz val="8"/>
        <color rgb="FF00B050"/>
        <rFont val="Times New Roman"/>
        <family val="1"/>
      </rPr>
      <t>nested</t>
    </r>
    <r>
      <rPr>
        <sz val="8"/>
        <color theme="1"/>
        <rFont val="Times New Roman"/>
        <family val="1"/>
      </rPr>
      <t xml:space="preserve"> casting and autograd contexts</t>
    </r>
    <phoneticPr fontId="1" type="noConversion"/>
  </si>
  <si>
    <r>
      <rPr>
        <sz val="8"/>
        <color rgb="FF00B050"/>
        <rFont val="Times New Roman"/>
        <family val="1"/>
      </rPr>
      <t>Dynamic context dispatch</t>
    </r>
    <r>
      <rPr>
        <sz val="8"/>
        <color theme="1"/>
        <rFont val="Times New Roman"/>
        <family val="1"/>
      </rPr>
      <t xml:space="preserve"> overrides aren't captured; compiled graph bypasses mode-driven operator rewrites, causing behavior mismatch.</t>
    </r>
    <phoneticPr fontId="1" type="noConversion"/>
  </si>
  <si>
    <r>
      <rPr>
        <sz val="8"/>
        <color rgb="FF00B050"/>
        <rFont val="Times New Roman"/>
        <family val="1"/>
      </rPr>
      <t>Context-managed dispatch</t>
    </r>
    <r>
      <rPr>
        <sz val="8"/>
        <color theme="1"/>
        <rFont val="Times New Roman"/>
        <family val="1"/>
      </rPr>
      <t xml:space="preserve"> alters operation path; Dynamo fails to model it, misclassifies the call, and triggers a graph break.</t>
    </r>
    <phoneticPr fontId="1" type="noConversion"/>
  </si>
  <si>
    <r>
      <rPr>
        <sz val="8"/>
        <color rgb="FF00B050"/>
        <rFont val="Times New Roman"/>
        <family val="1"/>
      </rPr>
      <t>Absent attribute access</t>
    </r>
    <r>
      <rPr>
        <sz val="8"/>
        <color theme="1"/>
        <rFont val="Times New Roman"/>
        <family val="1"/>
      </rPr>
      <t xml:space="preserve"> fails to raise, breaking </t>
    </r>
    <r>
      <rPr>
        <sz val="8"/>
        <color rgb="FF00B050"/>
        <rFont val="Times New Roman"/>
        <family val="1"/>
      </rPr>
      <t>try/except control flow</t>
    </r>
    <r>
      <rPr>
        <sz val="8"/>
        <color theme="1"/>
        <rFont val="Times New Roman"/>
        <family val="1"/>
      </rPr>
      <t xml:space="preserve"> under compilation and altering computed constants.</t>
    </r>
    <phoneticPr fontId="1" type="noConversion"/>
  </si>
  <si>
    <r>
      <t xml:space="preserve">Attribute resolution during graph capture bypasses </t>
    </r>
    <r>
      <rPr>
        <sz val="8"/>
        <color rgb="FF00B050"/>
        <rFont val="Times New Roman"/>
        <family val="1"/>
      </rPr>
      <t>try/except</t>
    </r>
    <r>
      <rPr>
        <sz val="8"/>
        <color theme="1"/>
        <rFont val="Times New Roman"/>
        <family val="1"/>
      </rPr>
      <t>, causing unhandled AttributeError instead of falling back.</t>
    </r>
    <phoneticPr fontId="1" type="noConversion"/>
  </si>
  <si>
    <r>
      <rPr>
        <sz val="8"/>
        <color rgb="FF00B050"/>
        <rFont val="Times New Roman"/>
        <family val="1"/>
      </rPr>
      <t>Decorated inner function</t>
    </r>
    <r>
      <rPr>
        <sz val="8"/>
        <color theme="1"/>
        <rFont val="Times New Roman"/>
        <family val="1"/>
      </rPr>
      <t xml:space="preserve"> conflicts with whole-graph capture constraints, triggering unsupported operation failure at compile time.</t>
    </r>
    <phoneticPr fontId="1" type="noConversion"/>
  </si>
  <si>
    <r>
      <t xml:space="preserve">Dynamic eval-frame scoping </t>
    </r>
    <r>
      <rPr>
        <sz val="8"/>
        <color rgb="FF00B050"/>
        <rFont val="Times New Roman"/>
        <family val="1"/>
      </rPr>
      <t>ignores outer disable</t>
    </r>
    <r>
      <rPr>
        <sz val="8"/>
        <color theme="1"/>
        <rFont val="Times New Roman"/>
        <family val="1"/>
      </rPr>
      <t>, allowing nested compilation to proceed and raise runtime errors.</t>
    </r>
    <phoneticPr fontId="1" type="noConversion"/>
  </si>
  <si>
    <r>
      <rPr>
        <sz val="8"/>
        <color rgb="FF00B050"/>
        <rFont val="Times New Roman"/>
        <family val="1"/>
      </rPr>
      <t>Nested function decoration</t>
    </r>
    <r>
      <rPr>
        <sz val="8"/>
        <color theme="1"/>
        <rFont val="Times New Roman"/>
        <family val="1"/>
      </rPr>
      <t xml:space="preserve"> causes Dynamo’s function reconstruction to fail during bytecode modeling, resulting in a compile-time crash.</t>
    </r>
    <phoneticPr fontId="1" type="noConversion"/>
  </si>
  <si>
    <r>
      <t>Compiler fails to</t>
    </r>
    <r>
      <rPr>
        <sz val="8"/>
        <color rgb="FF00B050"/>
        <rFont val="Times New Roman"/>
        <family val="1"/>
      </rPr>
      <t xml:space="preserve"> reconstruct closure cell variables</t>
    </r>
    <r>
      <rPr>
        <sz val="8"/>
        <color theme="1"/>
        <rFont val="Times New Roman"/>
        <family val="1"/>
      </rPr>
      <t xml:space="preserve"> from nested functions, aborting during inlining.</t>
    </r>
    <phoneticPr fontId="1" type="noConversion"/>
  </si>
  <si>
    <r>
      <rPr>
        <sz val="8"/>
        <color rgb="FFFF0000"/>
        <rFont val="Times New Roman"/>
        <family val="1"/>
      </rPr>
      <t>Inlining a returned closure with captured variables</t>
    </r>
    <r>
      <rPr>
        <sz val="8"/>
        <color theme="1"/>
        <rFont val="Times New Roman"/>
        <family val="1"/>
      </rPr>
      <t xml:space="preserve"> mismanages translator hierarchy, causing attribute access failure during compilation.</t>
    </r>
    <phoneticPr fontId="1" type="noConversion"/>
  </si>
  <si>
    <r>
      <t xml:space="preserve">Read-only closure inlining omits cell reconstruction, causing assertion when the captured environment </t>
    </r>
    <r>
      <rPr>
        <sz val="8"/>
        <color rgb="FFFF0000"/>
        <rFont val="Times New Roman"/>
        <family val="1"/>
      </rPr>
      <t>escapes the compiled region</t>
    </r>
    <r>
      <rPr>
        <sz val="8"/>
        <color theme="1"/>
        <rFont val="Times New Roman"/>
        <family val="1"/>
      </rPr>
      <t>.</t>
    </r>
    <phoneticPr fontId="1" type="noConversion"/>
  </si>
  <si>
    <r>
      <rPr>
        <sz val="8"/>
        <color rgb="FF00B050"/>
        <rFont val="Times New Roman"/>
        <family val="1"/>
      </rPr>
      <t xml:space="preserve">Closure mutation </t>
    </r>
    <r>
      <rPr>
        <sz val="8"/>
        <color theme="1"/>
        <rFont val="Times New Roman"/>
        <family val="1"/>
      </rPr>
      <t>tracking by source names fails when multiple closures share a cell, producing stale reads under compilation.</t>
    </r>
    <phoneticPr fontId="1" type="noConversion"/>
  </si>
  <si>
    <r>
      <rPr>
        <sz val="8"/>
        <color theme="1"/>
        <rFont val="宋体"/>
        <family val="3"/>
        <charset val="134"/>
      </rPr>
      <t>将</t>
    </r>
    <r>
      <rPr>
        <sz val="8"/>
        <color theme="1"/>
        <rFont val="Times New Roman"/>
        <family val="1"/>
      </rPr>
      <t xml:space="preserve"> TORCHDYNAMO_INLINE_INBUILT_NN_MODULES </t>
    </r>
    <r>
      <rPr>
        <sz val="8"/>
        <color theme="1"/>
        <rFont val="宋体"/>
        <family val="3"/>
        <charset val="134"/>
      </rPr>
      <t>设置为默认启用</t>
    </r>
    <phoneticPr fontId="1" type="noConversion"/>
  </si>
  <si>
    <r>
      <rPr>
        <sz val="8"/>
        <color rgb="FF00B050"/>
        <rFont val="Times New Roman"/>
        <family val="1"/>
      </rPr>
      <t>Instance attributes</t>
    </r>
    <r>
      <rPr>
        <sz val="8"/>
        <color theme="1"/>
        <rFont val="Times New Roman"/>
        <family val="1"/>
      </rPr>
      <t xml:space="preserve"> are constant-specialized with identity guards, forcing recompilation per object and preventing cache sharing across layers.</t>
    </r>
    <phoneticPr fontId="1" type="noConversion"/>
  </si>
  <si>
    <r>
      <rPr>
        <sz val="8"/>
        <color rgb="FF00B050"/>
        <rFont val="Times New Roman"/>
        <family val="1"/>
      </rPr>
      <t>Attribute</t>
    </r>
    <r>
      <rPr>
        <sz val="8"/>
        <color theme="1"/>
        <rFont val="Times New Roman"/>
        <family val="1"/>
      </rPr>
      <t xml:space="preserve"> mutation causes value-equality guards and overspecialization, forcing repeated recompilation instead of symbolic handling.</t>
    </r>
    <phoneticPr fontId="1" type="noConversion"/>
  </si>
  <si>
    <r>
      <t xml:space="preserve">Ephemeral </t>
    </r>
    <r>
      <rPr>
        <sz val="8"/>
        <color rgb="FF00B050"/>
        <rFont val="Times New Roman"/>
        <family val="1"/>
      </rPr>
      <t>objects</t>
    </r>
    <r>
      <rPr>
        <sz val="8"/>
        <color theme="1"/>
        <rFont val="Times New Roman"/>
        <family val="1"/>
      </rPr>
      <t xml:space="preserve"> invalidate guard-attached cache entries, triggering recompilation each call; inlining avoids object identity guards and stabilizes cache.</t>
    </r>
    <phoneticPr fontId="1" type="noConversion"/>
  </si>
  <si>
    <r>
      <rPr>
        <sz val="8"/>
        <color rgb="FF00B050"/>
        <rFont val="Times New Roman"/>
        <family val="1"/>
      </rPr>
      <t>Attribute access on module</t>
    </r>
    <r>
      <rPr>
        <sz val="8"/>
        <color theme="1"/>
        <rFont val="Times New Roman"/>
        <family val="1"/>
      </rPr>
      <t xml:space="preserve"> is specialized as constant, missing guards, so post-compile mutations aren't reflected in compiled runs.</t>
    </r>
    <phoneticPr fontId="1" type="noConversion"/>
  </si>
  <si>
    <r>
      <t xml:space="preserve">Literal </t>
    </r>
    <r>
      <rPr>
        <sz val="8"/>
        <color rgb="FF00B050"/>
        <rFont val="Times New Roman"/>
        <family val="1"/>
      </rPr>
      <t>scalar</t>
    </r>
    <r>
      <rPr>
        <sz val="8"/>
        <color theme="1"/>
        <rFont val="Times New Roman"/>
        <family val="1"/>
      </rPr>
      <t xml:space="preserve"> inputs become constant-folded, producing strict value guards that recompile when the value changes across invocations.</t>
    </r>
    <phoneticPr fontId="1" type="noConversion"/>
  </si>
  <si>
    <r>
      <rPr>
        <sz val="8"/>
        <color rgb="FF00B050"/>
        <rFont val="Times New Roman"/>
        <family val="1"/>
      </rPr>
      <t>Constant guards</t>
    </r>
    <r>
      <rPr>
        <sz val="8"/>
        <color theme="1"/>
        <rFont val="Times New Roman"/>
        <family val="1"/>
      </rPr>
      <t xml:space="preserve"> on the mapped axis prevent dynamic shapes, forcing recompilation whenever the batch dimension size changes.</t>
    </r>
    <phoneticPr fontId="1" type="noConversion"/>
  </si>
  <si>
    <r>
      <rPr>
        <sz val="8"/>
        <color rgb="FF00B050"/>
        <rFont val="Times New Roman"/>
        <family val="1"/>
      </rPr>
      <t>Dynamic shape floor-division</t>
    </r>
    <r>
      <rPr>
        <sz val="8"/>
        <color theme="1"/>
        <rFont val="Times New Roman"/>
        <family val="1"/>
      </rPr>
      <t xml:space="preserve"> is mis-modeled, producing incorrect length expressions and mismatched guards.</t>
    </r>
    <phoneticPr fontId="1" type="noConversion"/>
  </si>
  <si>
    <r>
      <t xml:space="preserve">torch/_meta_registrations.py
torch/_meta_registrations.py
</t>
    </r>
    <r>
      <rPr>
        <sz val="8"/>
        <color theme="1"/>
        <rFont val="宋体"/>
        <family val="3"/>
        <charset val="134"/>
      </rPr>
      <t>非对应</t>
    </r>
    <r>
      <rPr>
        <sz val="8"/>
        <color theme="1"/>
        <rFont val="Times New Roman"/>
        <family val="1"/>
      </rPr>
      <t xml:space="preserve">PR, </t>
    </r>
    <r>
      <rPr>
        <sz val="8"/>
        <color theme="1"/>
        <rFont val="宋体"/>
        <family val="3"/>
        <charset val="134"/>
      </rPr>
      <t>但应该解决此问题</t>
    </r>
    <phoneticPr fontId="1" type="noConversion"/>
  </si>
  <si>
    <r>
      <t xml:space="preserve">Data-derived dynamic shape introduces equality guard on a </t>
    </r>
    <r>
      <rPr>
        <sz val="8"/>
        <color rgb="FF00B050"/>
        <rFont val="Times New Roman"/>
        <family val="1"/>
      </rPr>
      <t>symbolic value</t>
    </r>
    <r>
      <rPr>
        <sz val="8"/>
        <color theme="1"/>
        <rFont val="Times New Roman"/>
        <family val="1"/>
      </rPr>
      <t xml:space="preserve"> that the guard system cannot resolve, aborting compilation.</t>
    </r>
    <phoneticPr fontId="1" type="noConversion"/>
  </si>
  <si>
    <r>
      <t xml:space="preserve">toggling </t>
    </r>
    <r>
      <rPr>
        <sz val="8"/>
        <color rgb="FF00B050"/>
        <rFont val="Times New Roman"/>
        <family val="1"/>
      </rPr>
      <t>ambient context manager</t>
    </r>
    <r>
      <rPr>
        <sz val="8"/>
        <color theme="1"/>
        <rFont val="Times New Roman"/>
        <family val="1"/>
      </rPr>
      <t xml:space="preserve"> around compiled calls</t>
    </r>
    <phoneticPr fontId="1" type="noConversion"/>
  </si>
  <si>
    <r>
      <t xml:space="preserve">capturing </t>
    </r>
    <r>
      <rPr>
        <sz val="8"/>
        <color rgb="FF00B050"/>
        <rFont val="Times New Roman"/>
        <family val="1"/>
      </rPr>
      <t>instance attribute</t>
    </r>
    <r>
      <rPr>
        <sz val="8"/>
        <color theme="1"/>
        <rFont val="Times New Roman"/>
        <family val="1"/>
      </rPr>
      <t xml:space="preserve"> in nested closure</t>
    </r>
    <phoneticPr fontId="1" type="noConversion"/>
  </si>
  <si>
    <r>
      <rPr>
        <sz val="8"/>
        <color rgb="FF00B050"/>
        <rFont val="Times New Roman"/>
        <family val="1"/>
      </rPr>
      <t>Nested closure</t>
    </r>
    <r>
      <rPr>
        <sz val="8"/>
        <color theme="1"/>
        <rFont val="Times New Roman"/>
        <family val="1"/>
      </rPr>
      <t xml:space="preserve"> over module fields triggers guards; alternate guard path lacks manager initialization, causing assertion during guard creation.</t>
    </r>
    <phoneticPr fontId="1" type="noConversion"/>
  </si>
  <si>
    <r>
      <t xml:space="preserve">Shape-specialized graph assumes equal sizes across captured </t>
    </r>
    <r>
      <rPr>
        <sz val="8"/>
        <color rgb="FF00B050"/>
        <rFont val="Times New Roman"/>
        <family val="1"/>
      </rPr>
      <t>parameters</t>
    </r>
    <r>
      <rPr>
        <sz val="8"/>
        <color theme="1"/>
        <rFont val="Times New Roman"/>
        <family val="1"/>
      </rPr>
      <t>; insufficient guards allow mismatched shapes, causing assertion failure.</t>
    </r>
    <phoneticPr fontId="1" type="noConversion"/>
  </si>
  <si>
    <r>
      <t xml:space="preserve">torch/_dynamo/guards.py
torch/_guards.py
</t>
    </r>
    <r>
      <rPr>
        <sz val="8"/>
        <color theme="1"/>
        <rFont val="宋体"/>
        <family val="3"/>
        <charset val="134"/>
      </rPr>
      <t>非对应</t>
    </r>
    <r>
      <rPr>
        <sz val="8"/>
        <color theme="1"/>
        <rFont val="Times New Roman"/>
        <family val="1"/>
      </rPr>
      <t xml:space="preserve">PR, </t>
    </r>
    <r>
      <rPr>
        <sz val="8"/>
        <color theme="1"/>
        <rFont val="宋体"/>
        <family val="3"/>
        <charset val="134"/>
      </rPr>
      <t>但其他用户确认该</t>
    </r>
    <r>
      <rPr>
        <sz val="8"/>
        <color theme="1"/>
        <rFont val="Times New Roman"/>
        <family val="1"/>
      </rPr>
      <t>PR</t>
    </r>
    <r>
      <rPr>
        <sz val="8"/>
        <color theme="1"/>
        <rFont val="宋体"/>
        <family val="3"/>
        <charset val="134"/>
      </rPr>
      <t>可解决此问题</t>
    </r>
    <phoneticPr fontId="1" type="noConversion"/>
  </si>
  <si>
    <r>
      <t xml:space="preserve">Graph specialization to </t>
    </r>
    <r>
      <rPr>
        <sz val="8"/>
        <color rgb="FF00B050"/>
        <rFont val="Times New Roman"/>
        <family val="1"/>
      </rPr>
      <t>static parameter shapes</t>
    </r>
    <r>
      <rPr>
        <sz val="8"/>
        <color theme="1"/>
        <rFont val="Times New Roman"/>
        <family val="1"/>
      </rPr>
      <t xml:space="preserve"> fails when invoked on layers with mismatched shapes, triggering runtime assertion.</t>
    </r>
    <phoneticPr fontId="1" type="noConversion"/>
  </si>
  <si>
    <r>
      <t xml:space="preserve">Guard creation assumes </t>
    </r>
    <r>
      <rPr>
        <sz val="8"/>
        <color rgb="FF00B050"/>
        <rFont val="Times New Roman"/>
        <family val="1"/>
      </rPr>
      <t>attribute in subclass</t>
    </r>
    <r>
      <rPr>
        <sz val="8"/>
        <color theme="1"/>
        <rFont val="Times New Roman"/>
        <family val="1"/>
      </rPr>
      <t xml:space="preserve"> __dict__, failing on inherited lazy attributes and aborting compilation.</t>
    </r>
    <phoneticPr fontId="1" type="noConversion"/>
  </si>
  <si>
    <r>
      <t xml:space="preserve">Field access on a </t>
    </r>
    <r>
      <rPr>
        <sz val="8"/>
        <color rgb="FF00B050"/>
        <rFont val="Times New Roman"/>
        <family val="1"/>
      </rPr>
      <t>tuple-like record</t>
    </r>
    <r>
      <rPr>
        <sz val="8"/>
        <color theme="1"/>
        <rFont val="Times New Roman"/>
        <family val="1"/>
      </rPr>
      <t xml:space="preserve"> cannot be guarded, causing graph breaks during compilation.</t>
    </r>
    <phoneticPr fontId="1" type="noConversion"/>
  </si>
  <si>
    <r>
      <rPr>
        <sz val="8"/>
        <color rgb="FF00B050"/>
        <rFont val="Times New Roman"/>
        <family val="1"/>
      </rPr>
      <t>deleting decorated object</t>
    </r>
    <r>
      <rPr>
        <sz val="8"/>
        <color theme="1"/>
        <rFont val="Times New Roman"/>
        <family val="1"/>
      </rPr>
      <t xml:space="preserve"> leads to identity reuse</t>
    </r>
    <phoneticPr fontId="1" type="noConversion"/>
  </si>
  <si>
    <r>
      <t xml:space="preserve">Compiled execution reads original object state, ignoring </t>
    </r>
    <r>
      <rPr>
        <sz val="8"/>
        <color rgb="FF00B050"/>
        <rFont val="Times New Roman"/>
        <family val="1"/>
      </rPr>
      <t>temporary attribute substitutions</t>
    </r>
    <r>
      <rPr>
        <sz val="8"/>
        <color theme="1"/>
        <rFont val="Times New Roman"/>
        <family val="1"/>
      </rPr>
      <t>, yielding non-functional results compared to eager behavior.</t>
    </r>
    <phoneticPr fontId="1" type="noConversion"/>
  </si>
  <si>
    <r>
      <rPr>
        <sz val="8"/>
        <color theme="1"/>
        <rFont val="宋体"/>
        <family val="3"/>
        <charset val="134"/>
      </rPr>
      <t>应该还是和</t>
    </r>
    <r>
      <rPr>
        <sz val="8"/>
        <color theme="1"/>
        <rFont val="Times New Roman"/>
        <family val="1"/>
      </rPr>
      <t xml:space="preserve"> inline_inbuilt_nn_modules </t>
    </r>
    <r>
      <rPr>
        <sz val="8"/>
        <color theme="1"/>
        <rFont val="宋体"/>
        <family val="3"/>
        <charset val="134"/>
      </rPr>
      <t>有关</t>
    </r>
    <r>
      <rPr>
        <sz val="8"/>
        <color theme="1"/>
        <rFont val="Times New Roman"/>
        <family val="1"/>
      </rPr>
      <t>(</t>
    </r>
    <r>
      <rPr>
        <sz val="8"/>
        <color theme="1"/>
        <rFont val="宋体"/>
        <family val="3"/>
        <charset val="134"/>
      </rPr>
      <t>之前的几个</t>
    </r>
    <r>
      <rPr>
        <sz val="8"/>
        <color theme="1"/>
        <rFont val="Times New Roman"/>
        <family val="1"/>
      </rPr>
      <t>issue</t>
    </r>
    <r>
      <rPr>
        <sz val="8"/>
        <color theme="1"/>
        <rFont val="宋体"/>
        <family val="3"/>
        <charset val="134"/>
      </rPr>
      <t>也提到了这个配置信息</t>
    </r>
    <r>
      <rPr>
        <sz val="8"/>
        <color theme="1"/>
        <rFont val="Times New Roman"/>
        <family val="1"/>
      </rPr>
      <t xml:space="preserve">)
</t>
    </r>
    <r>
      <rPr>
        <sz val="8"/>
        <color theme="1"/>
        <rFont val="宋体"/>
        <family val="3"/>
        <charset val="134"/>
      </rPr>
      <t>这条</t>
    </r>
    <r>
      <rPr>
        <sz val="8"/>
        <color theme="1"/>
        <rFont val="Times New Roman"/>
        <family val="1"/>
      </rPr>
      <t xml:space="preserve"> PR </t>
    </r>
    <r>
      <rPr>
        <sz val="8"/>
        <color theme="1"/>
        <rFont val="宋体"/>
        <family val="3"/>
        <charset val="134"/>
      </rPr>
      <t>中没有有效信息</t>
    </r>
    <r>
      <rPr>
        <sz val="8"/>
        <color theme="1"/>
        <rFont val="Times New Roman"/>
        <family val="1"/>
      </rPr>
      <t xml:space="preserve">, </t>
    </r>
    <r>
      <rPr>
        <sz val="8"/>
        <color theme="1"/>
        <rFont val="宋体"/>
        <family val="3"/>
        <charset val="134"/>
      </rPr>
      <t>只修改了一个</t>
    </r>
    <r>
      <rPr>
        <sz val="8"/>
        <color theme="1"/>
        <rFont val="Times New Roman"/>
        <family val="1"/>
      </rPr>
      <t xml:space="preserve"> test </t>
    </r>
    <r>
      <rPr>
        <sz val="8"/>
        <color theme="1"/>
        <rFont val="宋体"/>
        <family val="3"/>
        <charset val="134"/>
      </rPr>
      <t>文件</t>
    </r>
    <r>
      <rPr>
        <sz val="8"/>
        <color theme="1"/>
        <rFont val="Times New Roman"/>
        <family val="1"/>
      </rPr>
      <t xml:space="preserve">, </t>
    </r>
    <r>
      <rPr>
        <sz val="8"/>
        <color theme="1"/>
        <rFont val="宋体"/>
        <family val="3"/>
        <charset val="134"/>
      </rPr>
      <t>完全没修改</t>
    </r>
    <r>
      <rPr>
        <sz val="8"/>
        <color theme="1"/>
        <rFont val="Times New Roman"/>
        <family val="1"/>
      </rPr>
      <t xml:space="preserve"> dynamo </t>
    </r>
    <r>
      <rPr>
        <sz val="8"/>
        <color theme="1"/>
        <rFont val="宋体"/>
        <family val="3"/>
        <charset val="134"/>
      </rPr>
      <t>核心逻辑</t>
    </r>
    <phoneticPr fontId="1" type="noConversion"/>
  </si>
  <si>
    <r>
      <t xml:space="preserve">Compiled graph caches parameters; </t>
    </r>
    <r>
      <rPr>
        <sz val="8"/>
        <color rgb="FF00B050"/>
        <rFont val="Times New Roman"/>
        <family val="1"/>
      </rPr>
      <t>subsequent attribute reassignment</t>
    </r>
    <r>
      <rPr>
        <sz val="8"/>
        <color theme="1"/>
        <rFont val="Times New Roman"/>
        <family val="1"/>
      </rPr>
      <t xml:space="preserve"> isn't tracked, so later executions ignore updated state.</t>
    </r>
    <phoneticPr fontId="1" type="noConversion"/>
  </si>
  <si>
    <r>
      <rPr>
        <sz val="8"/>
        <color rgb="FF00B050"/>
        <rFont val="Times New Roman"/>
        <family val="1"/>
      </rPr>
      <t>User-assigned attribute</t>
    </r>
    <r>
      <rPr>
        <sz val="8"/>
        <color theme="1"/>
        <rFont val="Times New Roman"/>
        <family val="1"/>
      </rPr>
      <t xml:space="preserve"> on an object isn't tracked; proxy lacks it, causing method lookup failure during compilation.</t>
    </r>
    <phoneticPr fontId="1" type="noConversion"/>
  </si>
  <si>
    <r>
      <t xml:space="preserve">attribute lookup on </t>
    </r>
    <r>
      <rPr>
        <sz val="8"/>
        <color rgb="FF00B050"/>
        <rFont val="Times New Roman"/>
        <family val="1"/>
      </rPr>
      <t>partially initialized instance</t>
    </r>
    <phoneticPr fontId="1" type="noConversion"/>
  </si>
  <si>
    <r>
      <rPr>
        <sz val="8"/>
        <color rgb="FF00B050"/>
        <rFont val="Times New Roman"/>
        <family val="1"/>
      </rPr>
      <t>Deferred initialization</t>
    </r>
    <r>
      <rPr>
        <sz val="8"/>
        <color theme="1"/>
        <rFont val="Times New Roman"/>
        <family val="1"/>
      </rPr>
      <t xml:space="preserve"> mutates module state between traces, invalidating speculation log and causing divergent inlining decisions and assertion failure.</t>
    </r>
    <phoneticPr fontId="1" type="noConversion"/>
  </si>
  <si>
    <r>
      <t xml:space="preserve">Mode-based dispatch exposes class-level mutation; compiler lacks side-effect support for </t>
    </r>
    <r>
      <rPr>
        <sz val="8"/>
        <color rgb="FF00B050"/>
        <rFont val="Times New Roman"/>
        <family val="1"/>
      </rPr>
      <t>setattr</t>
    </r>
    <r>
      <rPr>
        <sz val="8"/>
        <color theme="1"/>
        <rFont val="Times New Roman"/>
        <family val="1"/>
      </rPr>
      <t xml:space="preserve"> under fullgraph, causing tracing to abort.</t>
    </r>
    <phoneticPr fontId="1" type="noConversion"/>
  </si>
  <si>
    <r>
      <rPr>
        <sz val="8"/>
        <color rgb="FF00B050"/>
        <rFont val="Times New Roman"/>
        <family val="1"/>
      </rPr>
      <t>in-place attribute reassignment</t>
    </r>
    <r>
      <rPr>
        <sz val="8"/>
        <color theme="1"/>
        <rFont val="Times New Roman"/>
        <family val="1"/>
      </rPr>
      <t xml:space="preserve"> across tensor dtype</t>
    </r>
    <phoneticPr fontId="1" type="noConversion"/>
  </si>
  <si>
    <r>
      <rPr>
        <sz val="8"/>
        <color rgb="FF00B050"/>
        <rFont val="Times New Roman"/>
        <family val="1"/>
      </rPr>
      <t>Out-argument</t>
    </r>
    <r>
      <rPr>
        <sz val="8"/>
        <color theme="1"/>
        <rFont val="Times New Roman"/>
        <family val="1"/>
      </rPr>
      <t xml:space="preserve"> side-effect modeling with scalars produces a CPU result, causing a copy-to-meta failure during fake execution.</t>
    </r>
    <phoneticPr fontId="1" type="noConversion"/>
  </si>
  <si>
    <r>
      <rPr>
        <sz val="8"/>
        <color rgb="FF00B050"/>
        <rFont val="Times New Roman"/>
        <family val="1"/>
      </rPr>
      <t>In-place shape change</t>
    </r>
    <r>
      <rPr>
        <sz val="8"/>
        <color theme="1"/>
        <rFont val="Times New Roman"/>
        <family val="1"/>
      </rPr>
      <t xml:space="preserve"> on a tracked tensor breaks dynamic-shape guard generation, causing an index error and compile-time abort.</t>
    </r>
    <phoneticPr fontId="1" type="noConversion"/>
  </si>
  <si>
    <r>
      <t xml:space="preserve">Compiler fails to model implicit resize from </t>
    </r>
    <r>
      <rPr>
        <sz val="8"/>
        <color rgb="FF00B050"/>
        <rFont val="Times New Roman"/>
        <family val="1"/>
      </rPr>
      <t>output-argument mutation</t>
    </r>
    <r>
      <rPr>
        <sz val="8"/>
        <color theme="1"/>
        <rFont val="Times New Roman"/>
        <family val="1"/>
      </rPr>
      <t>, returning original buffer shape instead of eager's resized scalar.</t>
    </r>
    <phoneticPr fontId="1" type="noConversion"/>
  </si>
  <si>
    <r>
      <rPr>
        <sz val="8"/>
        <color rgb="FF00B050"/>
        <rFont val="Times New Roman"/>
        <family val="1"/>
      </rPr>
      <t>Mutating backward inputs</t>
    </r>
    <r>
      <rPr>
        <sz val="8"/>
        <color theme="1"/>
        <rFont val="Times New Roman"/>
        <family val="1"/>
      </rPr>
      <t xml:space="preserve"> violates no-mutation modeling; functionalization detects mutation and aborts compilation with an assertion.</t>
    </r>
    <phoneticPr fontId="1" type="noConversion"/>
  </si>
  <si>
    <r>
      <t xml:space="preserve">torch/_dynamo/variables/higher_order_ops.py
</t>
    </r>
    <r>
      <rPr>
        <sz val="8"/>
        <color theme="1"/>
        <rFont val="宋体"/>
        <family val="3"/>
        <charset val="134"/>
      </rPr>
      <t>非对应</t>
    </r>
    <r>
      <rPr>
        <sz val="8"/>
        <color theme="1"/>
        <rFont val="Times New Roman"/>
        <family val="1"/>
      </rPr>
      <t xml:space="preserve">PR, </t>
    </r>
    <r>
      <rPr>
        <sz val="8"/>
        <color theme="1"/>
        <rFont val="宋体"/>
        <family val="3"/>
        <charset val="134"/>
      </rPr>
      <t>但应该解决此问题</t>
    </r>
    <phoneticPr fontId="1" type="noConversion"/>
  </si>
  <si>
    <r>
      <rPr>
        <sz val="8"/>
        <color rgb="FF00B050"/>
        <rFont val="Times New Roman"/>
        <family val="1"/>
      </rPr>
      <t>in-place mutation</t>
    </r>
    <r>
      <rPr>
        <sz val="8"/>
        <color theme="1"/>
        <rFont val="Times New Roman"/>
        <family val="1"/>
      </rPr>
      <t xml:space="preserve"> inside user-defined differentiation routine</t>
    </r>
    <phoneticPr fontId="1" type="noConversion"/>
  </si>
  <si>
    <r>
      <t xml:space="preserve">torch/_functorch/partitioners.py
PR #155354 </t>
    </r>
    <r>
      <rPr>
        <sz val="8"/>
        <color theme="1"/>
        <rFont val="宋体"/>
        <family val="3"/>
        <charset val="134"/>
      </rPr>
      <t>看起来非常复杂</t>
    </r>
    <r>
      <rPr>
        <sz val="8"/>
        <color theme="1"/>
        <rFont val="Times New Roman"/>
        <family val="1"/>
      </rPr>
      <t xml:space="preserve">, </t>
    </r>
    <r>
      <rPr>
        <sz val="8"/>
        <color theme="1"/>
        <rFont val="宋体"/>
        <family val="3"/>
        <charset val="134"/>
      </rPr>
      <t>修改了很多非</t>
    </r>
    <r>
      <rPr>
        <sz val="8"/>
        <color theme="1"/>
        <rFont val="Times New Roman"/>
        <family val="1"/>
      </rPr>
      <t>dynamo</t>
    </r>
    <r>
      <rPr>
        <sz val="8"/>
        <color theme="1"/>
        <rFont val="宋体"/>
        <family val="3"/>
        <charset val="134"/>
      </rPr>
      <t>内容</t>
    </r>
    <phoneticPr fontId="1" type="noConversion"/>
  </si>
  <si>
    <r>
      <t xml:space="preserve">Compiler merges or reorders forward/backward mutations, </t>
    </r>
    <r>
      <rPr>
        <sz val="8"/>
        <color rgb="FF00B050"/>
        <rFont val="Times New Roman"/>
        <family val="1"/>
      </rPr>
      <t>breaking expected sequencing</t>
    </r>
    <r>
      <rPr>
        <sz val="8"/>
        <color theme="1"/>
        <rFont val="Times New Roman"/>
        <family val="1"/>
      </rPr>
      <t xml:space="preserve"> due to flawed side-effect modeling of autograd state.</t>
    </r>
    <phoneticPr fontId="1" type="noConversion"/>
  </si>
  <si>
    <r>
      <rPr>
        <sz val="8"/>
        <color rgb="FF00B050"/>
        <rFont val="Times New Roman"/>
        <family val="1"/>
      </rPr>
      <t>Environment introspection and RNG changes</t>
    </r>
    <r>
      <rPr>
        <sz val="8"/>
        <color theme="1"/>
        <rFont val="Times New Roman"/>
        <family val="1"/>
      </rPr>
      <t xml:space="preserve"> force graph breaks since side-effects and runtime queries aren’t modeled in-graph.</t>
    </r>
    <phoneticPr fontId="1" type="noConversion"/>
  </si>
  <si>
    <r>
      <rPr>
        <sz val="8"/>
        <color theme="1"/>
        <rFont val="宋体"/>
        <family val="3"/>
        <charset val="134"/>
      </rPr>
      <t>这个</t>
    </r>
    <r>
      <rPr>
        <sz val="8"/>
        <color theme="1"/>
        <rFont val="Times New Roman"/>
        <family val="1"/>
      </rPr>
      <t xml:space="preserve"> PR </t>
    </r>
    <r>
      <rPr>
        <sz val="8"/>
        <color theme="1"/>
        <rFont val="宋体"/>
        <family val="3"/>
        <charset val="134"/>
      </rPr>
      <t>修复了一些不相关的问题，但应该已间接修复这个问题</t>
    </r>
    <phoneticPr fontId="1" type="noConversion"/>
  </si>
  <si>
    <r>
      <t xml:space="preserve">Activation checkpoint's </t>
    </r>
    <r>
      <rPr>
        <sz val="8"/>
        <color rgb="FF00B050"/>
        <rFont val="Times New Roman"/>
        <family val="1"/>
      </rPr>
      <t>RNG state context</t>
    </r>
    <r>
      <rPr>
        <sz val="8"/>
        <color theme="1"/>
        <rFont val="Times New Roman"/>
        <family val="1"/>
      </rPr>
      <t xml:space="preserve"> introduces real tensors during AOT tracing, violating FakeTensor assumptions and failing compilation.</t>
    </r>
    <phoneticPr fontId="1" type="noConversion"/>
  </si>
  <si>
    <r>
      <rPr>
        <sz val="8"/>
        <color rgb="FF00B050"/>
        <rFont val="Times New Roman"/>
        <family val="1"/>
      </rPr>
      <t>Global state mutations</t>
    </r>
    <r>
      <rPr>
        <sz val="8"/>
        <color theme="1"/>
        <rFont val="Times New Roman"/>
        <family val="1"/>
      </rPr>
      <t xml:space="preserve"> in imported module are redundantly tracked, breaking Dynamo’s side-effect model with an assertion.</t>
    </r>
    <phoneticPr fontId="1" type="noConversion"/>
  </si>
  <si>
    <r>
      <rPr>
        <sz val="8"/>
        <color rgb="FF00B050"/>
        <rFont val="Times New Roman"/>
        <family val="1"/>
      </rPr>
      <t>Context manager</t>
    </r>
    <r>
      <rPr>
        <sz val="8"/>
        <color theme="1"/>
        <rFont val="Times New Roman"/>
        <family val="1"/>
      </rPr>
      <t xml:space="preserve"> handling resets </t>
    </r>
    <r>
      <rPr>
        <sz val="8"/>
        <color rgb="FF00B050"/>
        <rFont val="Times New Roman"/>
        <family val="1"/>
      </rPr>
      <t>global warning state</t>
    </r>
    <r>
      <rPr>
        <sz val="8"/>
        <color theme="1"/>
        <rFont val="Times New Roman"/>
        <family val="1"/>
      </rPr>
      <t>, causing repeated warnings during compiled execution versus eager.</t>
    </r>
    <phoneticPr fontId="1" type="noConversion"/>
  </si>
  <si>
    <r>
      <rPr>
        <sz val="8"/>
        <color rgb="FF00B050"/>
        <rFont val="Times New Roman"/>
        <family val="1"/>
      </rPr>
      <t>Global mutation in nested call</t>
    </r>
    <r>
      <rPr>
        <sz val="8"/>
        <color theme="1"/>
        <rFont val="Times New Roman"/>
        <family val="1"/>
      </rPr>
      <t xml:space="preserve"> is not propagated across frames, due to per-frame global state tracking, yielding stale values.</t>
    </r>
    <phoneticPr fontId="1" type="noConversion"/>
  </si>
  <si>
    <r>
      <t xml:space="preserve">Resetting compiler caches leaves compiled function holding stale references; untracked </t>
    </r>
    <r>
      <rPr>
        <sz val="8"/>
        <color rgb="FF00B050"/>
        <rFont val="Times New Roman"/>
        <family val="1"/>
      </rPr>
      <t>global state mutation</t>
    </r>
    <r>
      <rPr>
        <sz val="8"/>
        <color theme="1"/>
        <rFont val="Times New Roman"/>
        <family val="1"/>
      </rPr>
      <t xml:space="preserve"> causes use-after-free and crash.</t>
    </r>
    <phoneticPr fontId="1" type="noConversion"/>
  </si>
  <si>
    <r>
      <t xml:space="preserve">Introspection of a </t>
    </r>
    <r>
      <rPr>
        <sz val="8"/>
        <color rgb="FF00B050"/>
        <rFont val="Times New Roman"/>
        <family val="1"/>
      </rPr>
      <t>partially bound callable</t>
    </r>
    <r>
      <rPr>
        <sz val="8"/>
        <color theme="1"/>
        <rFont val="Times New Roman"/>
        <family val="1"/>
      </rPr>
      <t xml:space="preserve"> fails when </t>
    </r>
    <r>
      <rPr>
        <sz val="8"/>
        <color rgb="FF00B050"/>
        <rFont val="Times New Roman"/>
        <family val="1"/>
      </rPr>
      <t>bound value isn't constant</t>
    </r>
    <r>
      <rPr>
        <sz val="8"/>
        <color theme="1"/>
        <rFont val="Times New Roman"/>
        <family val="1"/>
      </rPr>
      <t>, breaking Dynamo's bytecode modeling.</t>
    </r>
    <phoneticPr fontId="1" type="noConversion"/>
  </si>
  <si>
    <r>
      <rPr>
        <sz val="8"/>
        <color rgb="FF00B050"/>
        <rFont val="Times New Roman"/>
        <family val="1"/>
      </rPr>
      <t>Inline introspection</t>
    </r>
    <r>
      <rPr>
        <sz val="8"/>
        <color theme="1"/>
        <rFont val="Times New Roman"/>
        <family val="1"/>
      </rPr>
      <t xml:space="preserve"> yields a </t>
    </r>
    <r>
      <rPr>
        <sz val="8"/>
        <color rgb="FF00B050"/>
        <rFont val="Times New Roman"/>
        <family val="1"/>
      </rPr>
      <t>mappingproxy container</t>
    </r>
    <r>
      <rPr>
        <sz val="8"/>
        <color theme="1"/>
        <rFont val="Times New Roman"/>
        <family val="1"/>
      </rPr>
      <t xml:space="preserve"> Dynamo can’t model, triggering a graph break and fullgraph compilation abort.</t>
    </r>
    <phoneticPr fontId="1" type="noConversion"/>
  </si>
  <si>
    <r>
      <t xml:space="preserve">overridden attribute access in </t>
    </r>
    <r>
      <rPr>
        <sz val="8"/>
        <color rgb="FF00B050"/>
        <rFont val="Times New Roman"/>
        <family val="1"/>
      </rPr>
      <t>nested</t>
    </r>
    <r>
      <rPr>
        <sz val="8"/>
        <color theme="1"/>
        <rFont val="Times New Roman"/>
        <family val="1"/>
      </rPr>
      <t xml:space="preserve"> object</t>
    </r>
    <phoneticPr fontId="1" type="noConversion"/>
  </si>
  <si>
    <r>
      <t xml:space="preserve">Compiler fails to model </t>
    </r>
    <r>
      <rPr>
        <sz val="8"/>
        <color rgb="FF00B050"/>
        <rFont val="Times New Roman"/>
        <family val="1"/>
      </rPr>
      <t>custom attribute resolution</t>
    </r>
    <r>
      <rPr>
        <sz val="8"/>
        <color theme="1"/>
        <rFont val="Times New Roman"/>
        <family val="1"/>
      </rPr>
      <t>, hitting sourceless builder unsupported type and aborting graph compilation.</t>
    </r>
    <phoneticPr fontId="1" type="noConversion"/>
  </si>
  <si>
    <r>
      <t>Inlining policy</t>
    </r>
    <r>
      <rPr>
        <sz val="8"/>
        <color rgb="FF00B050"/>
        <rFont val="Times New Roman"/>
        <family val="1"/>
      </rPr>
      <t xml:space="preserve"> skips context manager methods</t>
    </r>
    <r>
      <rPr>
        <sz val="8"/>
        <color theme="1"/>
        <rFont val="Times New Roman"/>
        <family val="1"/>
      </rPr>
      <t>, leading Unsupported exception and compilation abort.</t>
    </r>
    <phoneticPr fontId="1" type="noConversion"/>
  </si>
  <si>
    <r>
      <rPr>
        <sz val="8"/>
        <color rgb="FF00B050"/>
        <rFont val="Times New Roman"/>
        <family val="1"/>
      </rPr>
      <t>Module method name shadowed by attribute</t>
    </r>
    <r>
      <rPr>
        <sz val="8"/>
        <color theme="1"/>
        <rFont val="Times New Roman"/>
        <family val="1"/>
      </rPr>
      <t xml:space="preserve"> breaks Dynamo's module introspection, causing a callable assumption to throw during graph construction.</t>
    </r>
    <phoneticPr fontId="1" type="noConversion"/>
  </si>
  <si>
    <r>
      <rPr>
        <sz val="8"/>
        <color rgb="FF00B050"/>
        <rFont val="Times New Roman"/>
        <family val="1"/>
      </rPr>
      <t>Kwarg using a Python keyword</t>
    </r>
    <r>
      <rPr>
        <sz val="8"/>
        <color theme="1"/>
        <rFont val="Times New Roman"/>
        <family val="1"/>
      </rPr>
      <t xml:space="preserve"> is emitted unsanitized in FX source, producing invalid syntax and aborting compilation.</t>
    </r>
    <phoneticPr fontId="1" type="noConversion"/>
  </si>
  <si>
    <r>
      <t xml:space="preserve">Dynamo mis-models </t>
    </r>
    <r>
      <rPr>
        <sz val="8"/>
        <color rgb="FF00B050"/>
        <rFont val="Times New Roman"/>
        <family val="1"/>
      </rPr>
      <t>mixed arithmetic</t>
    </r>
    <r>
      <rPr>
        <sz val="8"/>
        <color theme="1"/>
        <rFont val="Times New Roman"/>
        <family val="1"/>
      </rPr>
      <t>, treating scalars as tensors; inserted tensor-only ops on scalars crash FakeTensor dispatch.</t>
    </r>
    <phoneticPr fontId="1" type="noConversion"/>
  </si>
  <si>
    <r>
      <t xml:space="preserve">Dynamo lacks modeling for </t>
    </r>
    <r>
      <rPr>
        <sz val="8"/>
        <color rgb="FF00B050"/>
        <rFont val="Times New Roman"/>
        <family val="1"/>
      </rPr>
      <t>object identity queries</t>
    </r>
    <r>
      <rPr>
        <sz val="8"/>
        <color theme="1"/>
        <rFont val="Times New Roman"/>
        <family val="1"/>
      </rPr>
      <t>, so conditional control-flow cannot be compiled and compilation aborts.</t>
    </r>
    <phoneticPr fontId="1" type="noConversion"/>
  </si>
  <si>
    <r>
      <t xml:space="preserve">Dynamo lacks modeling for </t>
    </r>
    <r>
      <rPr>
        <sz val="8"/>
        <color rgb="FF00B050"/>
        <rFont val="Times New Roman"/>
        <family val="1"/>
      </rPr>
      <t>built-in conversion on custom objects</t>
    </r>
    <r>
      <rPr>
        <sz val="8"/>
        <color theme="1"/>
        <rFont val="Times New Roman"/>
        <family val="1"/>
      </rPr>
      <t>, marking it unsupported and aborting compilation.</t>
    </r>
    <phoneticPr fontId="1" type="noConversion"/>
  </si>
  <si>
    <r>
      <t xml:space="preserve">A </t>
    </r>
    <r>
      <rPr>
        <sz val="8"/>
        <color rgb="FF00B050"/>
        <rFont val="Times New Roman"/>
        <family val="1"/>
      </rPr>
      <t>built-in call</t>
    </r>
    <r>
      <rPr>
        <sz val="8"/>
        <color theme="1"/>
        <rFont val="Times New Roman"/>
        <family val="1"/>
      </rPr>
      <t xml:space="preserve"> is treated as a string method, misbinding arguments and crashing during compilation.</t>
    </r>
    <phoneticPr fontId="1" type="noConversion"/>
  </si>
  <si>
    <r>
      <t xml:space="preserve">During symbolic attribute access, Dynamo expects __name__ on callables; a </t>
    </r>
    <r>
      <rPr>
        <sz val="8"/>
        <color rgb="FF00B050"/>
        <rFont val="Times New Roman"/>
        <family val="1"/>
      </rPr>
      <t>non-Python callable lacks it</t>
    </r>
    <r>
      <rPr>
        <sz val="8"/>
        <color theme="1"/>
        <rFont val="Times New Roman"/>
        <family val="1"/>
      </rPr>
      <t>, triggering an exception.</t>
    </r>
    <phoneticPr fontId="1" type="noConversion"/>
  </si>
  <si>
    <r>
      <rPr>
        <sz val="8"/>
        <color rgb="FF00B050"/>
        <rFont val="Times New Roman"/>
        <family val="1"/>
      </rPr>
      <t>Scalar tensor shape parameters</t>
    </r>
    <r>
      <rPr>
        <sz val="8"/>
        <color theme="1"/>
        <rFont val="Times New Roman"/>
        <family val="1"/>
      </rPr>
      <t xml:space="preserve"> in containers aren't converted to symbolic integers, breaking fake-tensor execution during graph building and causing failure.</t>
    </r>
    <phoneticPr fontId="1" type="noConversion"/>
  </si>
  <si>
    <r>
      <t xml:space="preserve">Benchmarking context mutates </t>
    </r>
    <r>
      <rPr>
        <sz val="8"/>
        <color rgb="FF00B050"/>
        <rFont val="Times New Roman"/>
        <family val="1"/>
      </rPr>
      <t>global casting state</t>
    </r>
    <r>
      <rPr>
        <sz val="8"/>
        <color theme="1"/>
        <rFont val="Times New Roman"/>
        <family val="1"/>
      </rPr>
      <t>, violating Dynamo’s global-state guard and causing a RecompileError abort.</t>
    </r>
    <phoneticPr fontId="1" type="noConversion"/>
  </si>
  <si>
    <r>
      <rPr>
        <sz val="8"/>
        <color rgb="FF00B050"/>
        <rFont val="Times New Roman"/>
        <family val="1"/>
      </rPr>
      <t>Per-frame cache limits</t>
    </r>
    <r>
      <rPr>
        <sz val="8"/>
        <color theme="1"/>
        <rFont val="Times New Roman"/>
        <family val="1"/>
      </rPr>
      <t xml:space="preserve"> trigger continued inner-frame compilation, causing cascaded recompiles and excessive compile time.</t>
    </r>
    <phoneticPr fontId="1" type="noConversion"/>
  </si>
  <si>
    <r>
      <rPr>
        <sz val="8"/>
        <color rgb="FF00B050"/>
        <rFont val="Times New Roman"/>
        <family val="1"/>
      </rPr>
      <t>Lazy backend registry initialization</t>
    </r>
    <r>
      <rPr>
        <sz val="8"/>
        <color theme="1"/>
        <rFont val="Times New Roman"/>
        <family val="1"/>
      </rPr>
      <t xml:space="preserve"> causes list_backends to omit entrypoint-defined backends until queried.</t>
    </r>
    <phoneticPr fontId="1" type="noConversion"/>
  </si>
  <si>
    <r>
      <t xml:space="preserve">Output signature rewriting misclassifies </t>
    </r>
    <r>
      <rPr>
        <sz val="8"/>
        <color rgb="FF00B050"/>
        <rFont val="Times New Roman"/>
        <family val="1"/>
      </rPr>
      <t>mixed return types</t>
    </r>
    <r>
      <rPr>
        <sz val="8"/>
        <color theme="1"/>
        <rFont val="Times New Roman"/>
        <family val="1"/>
      </rPr>
      <t>, asserting when tensors appear unexpectedly during export.</t>
    </r>
    <phoneticPr fontId="1" type="noConversion"/>
  </si>
  <si>
    <r>
      <t xml:space="preserve">Argument flattening </t>
    </r>
    <r>
      <rPr>
        <sz val="8"/>
        <color rgb="FF00B050"/>
        <rFont val="Times New Roman"/>
        <family val="1"/>
      </rPr>
      <t>miscounts positional parameters</t>
    </r>
    <r>
      <rPr>
        <sz val="8"/>
        <color theme="1"/>
        <rFont val="Times New Roman"/>
        <family val="1"/>
      </rPr>
      <t>, indexing past available inputs during Dynamo export pre-dispatch analysis.</t>
    </r>
    <phoneticPr fontId="1" type="noConversion"/>
  </si>
  <si>
    <r>
      <rPr>
        <sz val="8"/>
        <color rgb="FFFF0000"/>
        <rFont val="Times New Roman"/>
        <family val="1"/>
      </rPr>
      <t>runtime feature flag</t>
    </r>
    <r>
      <rPr>
        <sz val="8"/>
        <color theme="1"/>
        <rFont val="Times New Roman"/>
        <family val="1"/>
      </rPr>
      <t xml:space="preserve"> alters configuration kwargs handling under compilation</t>
    </r>
    <phoneticPr fontId="1" type="noConversion"/>
  </si>
  <si>
    <r>
      <rPr>
        <sz val="8"/>
        <color rgb="FFFF0000"/>
        <rFont val="Times New Roman"/>
        <family val="1"/>
      </rPr>
      <t>Compilation-aware branch skips config sanitization</t>
    </r>
    <r>
      <rPr>
        <sz val="8"/>
        <color theme="1"/>
        <rFont val="Times New Roman"/>
        <family val="1"/>
      </rPr>
      <t>; leftover kwargs cause model validation to raise an error unlike eager.</t>
    </r>
    <phoneticPr fontId="1" type="noConversion"/>
  </si>
  <si>
    <r>
      <t xml:space="preserve">torch/_dynamo/trace_rules.py
</t>
    </r>
    <r>
      <rPr>
        <sz val="8"/>
        <color theme="1"/>
        <rFont val="宋体"/>
        <family val="3"/>
        <charset val="134"/>
      </rPr>
      <t>非对应</t>
    </r>
    <r>
      <rPr>
        <sz val="8"/>
        <color theme="1"/>
        <rFont val="Times New Roman"/>
        <family val="1"/>
      </rPr>
      <t xml:space="preserve">PR, </t>
    </r>
    <r>
      <rPr>
        <sz val="8"/>
        <color theme="1"/>
        <rFont val="宋体"/>
        <family val="3"/>
        <charset val="134"/>
      </rPr>
      <t>但应该解决此问题</t>
    </r>
    <phoneticPr fontId="1" type="noConversion"/>
  </si>
  <si>
    <r>
      <rPr>
        <sz val="8"/>
        <color rgb="FF00B050"/>
        <rFont val="Times New Roman"/>
        <family val="1"/>
      </rPr>
      <t>Unmodeled library predicate</t>
    </r>
    <r>
      <rPr>
        <sz val="8"/>
        <color theme="1"/>
        <rFont val="Times New Roman"/>
        <family val="1"/>
      </rPr>
      <t xml:space="preserve"> cannot be inlined, forcing graph break and failure.</t>
    </r>
    <phoneticPr fontId="1" type="noConversion"/>
  </si>
  <si>
    <r>
      <t xml:space="preserve">Pre-dispatch inlining/skip classification mislabels a </t>
    </r>
    <r>
      <rPr>
        <sz val="8"/>
        <color rgb="FF00B050"/>
        <rFont val="Times New Roman"/>
        <family val="1"/>
      </rPr>
      <t>standalone function</t>
    </r>
    <r>
      <rPr>
        <sz val="8"/>
        <color theme="1"/>
        <rFont val="Times New Roman"/>
        <family val="1"/>
      </rPr>
      <t>, triggering an assertion crash.</t>
    </r>
    <phoneticPr fontId="1" type="noConversion"/>
  </si>
  <si>
    <r>
      <rPr>
        <sz val="8"/>
        <color rgb="FF00B050"/>
        <rFont val="Times New Roman"/>
        <family val="1"/>
      </rPr>
      <t>List outputs</t>
    </r>
    <r>
      <rPr>
        <sz val="8"/>
        <color theme="1"/>
        <rFont val="Times New Roman"/>
        <family val="1"/>
      </rPr>
      <t xml:space="preserve"> require an unflatten helper marked untraceable; fullgraph disallows graph breaks, triggering a crash.</t>
    </r>
    <phoneticPr fontId="1" type="noConversion"/>
  </si>
  <si>
    <t>1.1 Incomplete or Missing Object Initialization</t>
    <phoneticPr fontId="1" type="noConversion"/>
  </si>
  <si>
    <t>1.2 Invalid Attribute Lookup &amp; State Updates</t>
    <phoneticPr fontId="1" type="noConversion"/>
  </si>
  <si>
    <t>1.3 Ignored Magic Method Overrides</t>
    <phoneticPr fontId="1" type="noConversion"/>
  </si>
  <si>
    <t>1.3 Mis-modeled Tensor Subclass Dispatch</t>
    <phoneticPr fontId="1" type="noConversion"/>
  </si>
  <si>
    <t>1.4 Misinterpretation of Descriptors</t>
    <phoneticPr fontId="1" type="noConversion"/>
  </si>
  <si>
    <t>2.1 Mis-modeled Container Abstraction &amp; Instantiation</t>
    <phoneticPr fontId="1" type="noConversion"/>
  </si>
  <si>
    <t>2.2 Untracked Container Mutation</t>
    <phoneticPr fontId="1" type="noConversion"/>
  </si>
  <si>
    <t>3 Desynchronization of Iterator State</t>
    <phoneticPr fontId="1" type="noConversion"/>
  </si>
  <si>
    <t>4 Missing Type Transformation</t>
    <phoneticPr fontId="1" type="noConversion"/>
  </si>
  <si>
    <t>5.1 Uncaptured Context Managers (`with` blocks)</t>
    <phoneticPr fontId="1" type="noConversion"/>
  </si>
  <si>
    <t>5.2 Ignored Exception Handling (`try/except` blocks)</t>
    <phoneticPr fontId="1" type="noConversion"/>
  </si>
  <si>
    <t>5.3 Wrong Closure &amp; Variable Capturing</t>
    <phoneticPr fontId="1" type="noConversion"/>
  </si>
  <si>
    <t>5.4 Untracked Global State &amp; Environment Changes</t>
    <phoneticPr fontId="1" type="noConversion"/>
  </si>
  <si>
    <t>6.1 Untracked Object Attribute Mutations</t>
    <phoneticPr fontId="1" type="noConversion"/>
  </si>
  <si>
    <t>6.2 Untracked Tensor &amp; Metadata Mutations</t>
    <phoneticPr fontId="1" type="noConversion"/>
  </si>
  <si>
    <t>7.1 Overspecialization of Mutable or Ephemeral State</t>
    <phoneticPr fontId="1" type="noConversion"/>
  </si>
  <si>
    <t>1 Wrong modeling of Python Object</t>
  </si>
  <si>
    <t>2 Wrong Modeling of Containers</t>
  </si>
  <si>
    <t>5 Wrong Modeling of Execution Environment &amp; Scope</t>
  </si>
  <si>
    <t xml:space="preserve"> 6 Uncaptured Side Effects</t>
  </si>
  <si>
    <t>7 Guard Overspecialization &amp; Deficiencies</t>
  </si>
  <si>
    <t>Others</t>
    <phoneticPr fontId="1" type="noConversion"/>
  </si>
  <si>
    <t>num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</si>
</sst>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  <charset val="134"/>
    </font>
    <font>
      <b/>
      <sz val="7"/>
      <color rgb="FF333333"/>
      <name val="Arial"/>
      <family val="2"/>
    </font>
    <font>
      <b/>
      <sz val="8"/>
      <name val="Times New Roman"/>
      <family val="1"/>
    </font>
    <font>
      <b/>
      <sz val="8"/>
      <color theme="1"/>
      <name val="Times New Roman"/>
      <family val="1"/>
    </font>
    <font>
      <sz val="8"/>
      <color theme="1"/>
      <name val="Times New Roman"/>
      <family val="1"/>
    </font>
    <font>
      <sz val="8"/>
      <color theme="1"/>
      <name val="Times New Roman"/>
      <family val="3"/>
      <charset val="134"/>
    </font>
    <font>
      <sz val="8"/>
      <color theme="1"/>
      <name val="宋体"/>
      <family val="3"/>
      <charset val="134"/>
    </font>
    <font>
      <sz val="8"/>
      <color rgb="FF00B050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宋体"/>
      <family val="2"/>
      <scheme val="minor"/>
    </font>
    <font>
      <b/>
      <sz val="8"/>
      <color rgb="FF333333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2" xfId="0" applyFont="1" applyBorder="1" applyAlignment="1">
      <alignment horizontal="center" wrapText="1"/>
    </xf>
    <xf numFmtId="0" fontId="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 wrapText="1"/>
    </xf>
    <xf numFmtId="0" fontId="12" fillId="0" borderId="1" xfId="0" applyFont="1" applyBorder="1" applyAlignment="1">
      <alignment horizontal="left" wrapText="1"/>
    </xf>
    <xf numFmtId="0" fontId="12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left" wrapText="1"/>
    </xf>
    <xf numFmtId="0" fontId="14" fillId="0" borderId="1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13" fillId="0" borderId="0" xfId="0" applyFont="1" applyAlignment="1">
      <alignment wrapText="1"/>
    </xf>
    <xf numFmtId="0" fontId="13" fillId="0" borderId="5" xfId="0" applyFont="1" applyBorder="1" applyAlignment="1">
      <alignment wrapText="1"/>
    </xf>
    <xf numFmtId="0" fontId="0" fillId="0" borderId="1" xfId="0" applyBorder="1"/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6B393-E4A0-42D8-8FFA-B9F8EAD4509D}">
  <dimension ref="A1:L125"/>
  <sheetViews>
    <sheetView tabSelected="1" topLeftCell="A79" zoomScaleNormal="100" workbookViewId="0">
      <selection activeCell="E82" sqref="E82"/>
    </sheetView>
  </sheetViews>
  <sheetFormatPr defaultColWidth="8.875" defaultRowHeight="13.5" x14ac:dyDescent="0.15"/>
  <cols>
    <col min="1" max="1" width="6.375" style="14" customWidth="1"/>
    <col min="2" max="3" width="27.25" style="14" customWidth="1"/>
    <col min="4" max="4" width="17.75" style="14" customWidth="1"/>
    <col min="5" max="5" width="35.875" style="14" customWidth="1"/>
    <col min="6" max="6" width="10.25" style="14" customWidth="1"/>
    <col min="7" max="7" width="18.875" style="14" customWidth="1"/>
    <col min="8" max="8" width="35.125" customWidth="1"/>
    <col min="9" max="9" width="21.125" customWidth="1"/>
    <col min="10" max="10" width="21.375" customWidth="1"/>
  </cols>
  <sheetData>
    <row r="1" spans="1:11" ht="14.25" x14ac:dyDescent="0.2">
      <c r="A1" s="4" t="s">
        <v>0</v>
      </c>
      <c r="B1" s="20" t="s">
        <v>1</v>
      </c>
      <c r="C1" s="21"/>
      <c r="D1" s="5" t="s">
        <v>315</v>
      </c>
      <c r="E1" s="5" t="s">
        <v>124</v>
      </c>
      <c r="F1" s="5" t="s">
        <v>316</v>
      </c>
      <c r="G1" s="4" t="s">
        <v>317</v>
      </c>
      <c r="H1" s="1"/>
    </row>
    <row r="2" spans="1:11" ht="47.25" customHeight="1" x14ac:dyDescent="0.2">
      <c r="A2" s="6">
        <v>116264</v>
      </c>
      <c r="B2" s="7" t="s">
        <v>13</v>
      </c>
      <c r="C2" s="8" t="s">
        <v>327</v>
      </c>
      <c r="D2" s="7" t="s">
        <v>195</v>
      </c>
      <c r="E2" s="7" t="s">
        <v>328</v>
      </c>
      <c r="F2" s="7" t="s">
        <v>192</v>
      </c>
      <c r="G2" s="12" t="s">
        <v>455</v>
      </c>
      <c r="H2" s="2"/>
      <c r="K2" t="s">
        <v>477</v>
      </c>
    </row>
    <row r="3" spans="1:11" ht="47.25" customHeight="1" x14ac:dyDescent="0.2">
      <c r="A3" s="6">
        <v>128075</v>
      </c>
      <c r="B3" s="7" t="s">
        <v>35</v>
      </c>
      <c r="C3" s="7" t="s">
        <v>36</v>
      </c>
      <c r="D3" s="7" t="s">
        <v>209</v>
      </c>
      <c r="E3" s="7" t="s">
        <v>329</v>
      </c>
      <c r="F3" s="7" t="s">
        <v>192</v>
      </c>
      <c r="G3" s="12" t="s">
        <v>455</v>
      </c>
      <c r="H3" s="2"/>
      <c r="I3" s="18" t="s">
        <v>471</v>
      </c>
      <c r="J3" s="12" t="s">
        <v>455</v>
      </c>
      <c r="K3" s="16">
        <f>COUNTIFS(G:G,J3)</f>
        <v>3</v>
      </c>
    </row>
    <row r="4" spans="1:11" ht="47.25" customHeight="1" x14ac:dyDescent="0.2">
      <c r="A4" s="6">
        <v>145284</v>
      </c>
      <c r="B4" s="7" t="s">
        <v>156</v>
      </c>
      <c r="C4" s="7" t="s">
        <v>21</v>
      </c>
      <c r="D4" s="7" t="s">
        <v>291</v>
      </c>
      <c r="E4" s="7" t="s">
        <v>330</v>
      </c>
      <c r="F4" s="7" t="s">
        <v>192</v>
      </c>
      <c r="G4" s="12" t="s">
        <v>455</v>
      </c>
      <c r="H4" s="3"/>
      <c r="I4" s="18"/>
      <c r="J4" s="12" t="s">
        <v>456</v>
      </c>
      <c r="K4" s="16">
        <f>COUNTIFS(G:G,J4)+1</f>
        <v>9</v>
      </c>
    </row>
    <row r="5" spans="1:11" ht="47.25" customHeight="1" x14ac:dyDescent="0.2">
      <c r="A5" s="6">
        <v>129742</v>
      </c>
      <c r="B5" s="7" t="s">
        <v>45</v>
      </c>
      <c r="C5" s="7" t="s">
        <v>331</v>
      </c>
      <c r="D5" s="7" t="s">
        <v>216</v>
      </c>
      <c r="E5" s="7" t="s">
        <v>332</v>
      </c>
      <c r="F5" s="7" t="s">
        <v>192</v>
      </c>
      <c r="G5" s="12" t="s">
        <v>456</v>
      </c>
      <c r="H5" s="2"/>
      <c r="I5" s="18"/>
      <c r="J5" s="12" t="s">
        <v>457</v>
      </c>
      <c r="K5" s="16">
        <f>COUNTIFS(G:G,J5)+4</f>
        <v>7</v>
      </c>
    </row>
    <row r="6" spans="1:11" ht="47.25" customHeight="1" x14ac:dyDescent="0.2">
      <c r="A6" s="6">
        <v>132237</v>
      </c>
      <c r="B6" s="7" t="s">
        <v>68</v>
      </c>
      <c r="C6" s="7" t="s">
        <v>69</v>
      </c>
      <c r="D6" s="7" t="s">
        <v>230</v>
      </c>
      <c r="E6" s="7" t="s">
        <v>333</v>
      </c>
      <c r="F6" s="7" t="s">
        <v>192</v>
      </c>
      <c r="G6" s="12" t="s">
        <v>456</v>
      </c>
      <c r="H6" s="3"/>
      <c r="I6" s="18"/>
      <c r="J6" s="12" t="s">
        <v>459</v>
      </c>
      <c r="K6" s="16">
        <f t="shared" ref="K6:K7" si="0">COUNTIFS(G:G,J6)</f>
        <v>4</v>
      </c>
    </row>
    <row r="7" spans="1:11" ht="47.25" customHeight="1" x14ac:dyDescent="0.2">
      <c r="A7" s="6">
        <v>132399</v>
      </c>
      <c r="B7" s="7" t="s">
        <v>71</v>
      </c>
      <c r="C7" s="7" t="s">
        <v>72</v>
      </c>
      <c r="D7" s="7" t="s">
        <v>232</v>
      </c>
      <c r="E7" s="7" t="s">
        <v>339</v>
      </c>
      <c r="F7" s="7" t="s">
        <v>192</v>
      </c>
      <c r="G7" s="12" t="s">
        <v>456</v>
      </c>
      <c r="H7" s="3"/>
      <c r="I7" s="18" t="s">
        <v>472</v>
      </c>
      <c r="J7" s="12" t="s">
        <v>460</v>
      </c>
      <c r="K7" s="16">
        <f t="shared" si="0"/>
        <v>9</v>
      </c>
    </row>
    <row r="8" spans="1:11" ht="47.25" customHeight="1" x14ac:dyDescent="0.2">
      <c r="A8" s="6">
        <v>136257</v>
      </c>
      <c r="B8" s="7" t="s">
        <v>97</v>
      </c>
      <c r="C8" s="7" t="s">
        <v>56</v>
      </c>
      <c r="D8" s="7" t="s">
        <v>250</v>
      </c>
      <c r="E8" s="7" t="s">
        <v>334</v>
      </c>
      <c r="F8" s="7" t="s">
        <v>192</v>
      </c>
      <c r="G8" s="12" t="s">
        <v>456</v>
      </c>
      <c r="H8" s="2"/>
      <c r="I8" s="18"/>
      <c r="J8" s="12" t="s">
        <v>461</v>
      </c>
      <c r="K8" s="16">
        <f>COUNTIFS(G:G,J8)</f>
        <v>6</v>
      </c>
    </row>
    <row r="9" spans="1:11" ht="47.25" customHeight="1" x14ac:dyDescent="0.2">
      <c r="A9" s="6">
        <v>137764</v>
      </c>
      <c r="B9" s="7" t="s">
        <v>105</v>
      </c>
      <c r="C9" s="7" t="s">
        <v>56</v>
      </c>
      <c r="D9" s="7" t="s">
        <v>255</v>
      </c>
      <c r="E9" s="7" t="s">
        <v>335</v>
      </c>
      <c r="F9" s="7" t="s">
        <v>192</v>
      </c>
      <c r="G9" s="12" t="s">
        <v>456</v>
      </c>
      <c r="H9" s="2"/>
      <c r="I9" s="22" t="s">
        <v>462</v>
      </c>
      <c r="J9" s="22"/>
      <c r="K9" s="16">
        <f>COUNTIFS(G:G,I9)</f>
        <v>4</v>
      </c>
    </row>
    <row r="10" spans="1:11" ht="47.25" customHeight="1" x14ac:dyDescent="0.2">
      <c r="A10" s="6">
        <v>138188</v>
      </c>
      <c r="B10" s="7" t="s">
        <v>110</v>
      </c>
      <c r="C10" s="7" t="s">
        <v>336</v>
      </c>
      <c r="D10" s="7" t="s">
        <v>259</v>
      </c>
      <c r="E10" s="7" t="s">
        <v>260</v>
      </c>
      <c r="F10" s="9" t="s">
        <v>192</v>
      </c>
      <c r="G10" s="12" t="s">
        <v>456</v>
      </c>
      <c r="H10" s="3"/>
      <c r="I10" s="22" t="s">
        <v>463</v>
      </c>
      <c r="J10" s="22"/>
      <c r="K10" s="16">
        <f>COUNTIFS(G:G,I10)</f>
        <v>8</v>
      </c>
    </row>
    <row r="11" spans="1:11" ht="47.25" customHeight="1" x14ac:dyDescent="0.2">
      <c r="A11" s="6">
        <v>138224</v>
      </c>
      <c r="B11" s="7" t="s">
        <v>111</v>
      </c>
      <c r="C11" s="7" t="s">
        <v>112</v>
      </c>
      <c r="D11" s="7" t="s">
        <v>261</v>
      </c>
      <c r="E11" s="7" t="s">
        <v>337</v>
      </c>
      <c r="F11" s="7" t="s">
        <v>192</v>
      </c>
      <c r="G11" s="12" t="s">
        <v>456</v>
      </c>
      <c r="H11" s="3"/>
      <c r="I11" s="18" t="s">
        <v>473</v>
      </c>
      <c r="J11" s="12" t="s">
        <v>464</v>
      </c>
      <c r="K11" s="16">
        <f>COUNTIFS(G:G,J11)</f>
        <v>7</v>
      </c>
    </row>
    <row r="12" spans="1:11" ht="47.25" customHeight="1" x14ac:dyDescent="0.2">
      <c r="A12" s="10">
        <v>139167</v>
      </c>
      <c r="B12" s="7" t="s">
        <v>118</v>
      </c>
      <c r="C12" s="7" t="s">
        <v>38</v>
      </c>
      <c r="D12" s="7" t="s">
        <v>265</v>
      </c>
      <c r="E12" s="7" t="s">
        <v>436</v>
      </c>
      <c r="F12" s="7" t="s">
        <v>192</v>
      </c>
      <c r="G12" s="12" t="s">
        <v>456</v>
      </c>
      <c r="H12" s="2"/>
      <c r="I12" s="18"/>
      <c r="J12" s="12" t="s">
        <v>465</v>
      </c>
      <c r="K12" s="16">
        <f t="shared" ref="K12:K19" si="1">COUNTIFS(G:G,J12)</f>
        <v>3</v>
      </c>
    </row>
    <row r="13" spans="1:11" ht="47.25" customHeight="1" x14ac:dyDescent="0.2">
      <c r="A13" s="6">
        <v>133762</v>
      </c>
      <c r="B13" s="7" t="s">
        <v>85</v>
      </c>
      <c r="C13" s="7" t="s">
        <v>56</v>
      </c>
      <c r="D13" s="7" t="s">
        <v>241</v>
      </c>
      <c r="E13" s="7" t="s">
        <v>318</v>
      </c>
      <c r="F13" s="7" t="s">
        <v>192</v>
      </c>
      <c r="G13" s="12" t="s">
        <v>457</v>
      </c>
      <c r="H13" s="2"/>
      <c r="I13" s="18"/>
      <c r="J13" s="12" t="s">
        <v>466</v>
      </c>
      <c r="K13" s="16">
        <f t="shared" si="1"/>
        <v>5</v>
      </c>
    </row>
    <row r="14" spans="1:11" ht="47.25" customHeight="1" x14ac:dyDescent="0.2">
      <c r="A14" s="6">
        <v>142055</v>
      </c>
      <c r="B14" s="7" t="s">
        <v>143</v>
      </c>
      <c r="C14" s="7" t="s">
        <v>144</v>
      </c>
      <c r="D14" s="7" t="s">
        <v>319</v>
      </c>
      <c r="E14" s="7" t="s">
        <v>345</v>
      </c>
      <c r="F14" s="7" t="s">
        <v>192</v>
      </c>
      <c r="G14" s="12" t="s">
        <v>457</v>
      </c>
      <c r="H14" s="3"/>
      <c r="I14" s="18"/>
      <c r="J14" s="12" t="s">
        <v>467</v>
      </c>
      <c r="K14" s="16">
        <f t="shared" si="1"/>
        <v>9</v>
      </c>
    </row>
    <row r="15" spans="1:11" ht="47.25" customHeight="1" x14ac:dyDescent="0.2">
      <c r="A15" s="6">
        <v>150765</v>
      </c>
      <c r="B15" s="7" t="s">
        <v>171</v>
      </c>
      <c r="C15" s="7" t="s">
        <v>172</v>
      </c>
      <c r="D15" s="7" t="s">
        <v>306</v>
      </c>
      <c r="E15" s="7" t="s">
        <v>346</v>
      </c>
      <c r="F15" s="7" t="s">
        <v>192</v>
      </c>
      <c r="G15" s="12" t="s">
        <v>457</v>
      </c>
      <c r="H15" s="2"/>
      <c r="I15" s="18" t="s">
        <v>474</v>
      </c>
      <c r="J15" s="12" t="s">
        <v>468</v>
      </c>
      <c r="K15" s="16">
        <f t="shared" si="1"/>
        <v>9</v>
      </c>
    </row>
    <row r="16" spans="1:11" ht="47.25" customHeight="1" x14ac:dyDescent="0.2">
      <c r="A16" s="6">
        <v>120799</v>
      </c>
      <c r="B16" s="7" t="s">
        <v>16</v>
      </c>
      <c r="C16" s="7" t="s">
        <v>17</v>
      </c>
      <c r="D16" s="7" t="s">
        <v>340</v>
      </c>
      <c r="E16" s="7" t="s">
        <v>341</v>
      </c>
      <c r="F16" s="7" t="s">
        <v>192</v>
      </c>
      <c r="G16" s="13" t="s">
        <v>458</v>
      </c>
      <c r="H16" s="2"/>
      <c r="I16" s="18"/>
      <c r="J16" s="12" t="s">
        <v>469</v>
      </c>
      <c r="K16" s="16">
        <f t="shared" si="1"/>
        <v>7</v>
      </c>
    </row>
    <row r="17" spans="1:12" ht="47.25" customHeight="1" x14ac:dyDescent="0.2">
      <c r="A17" s="6">
        <v>128961</v>
      </c>
      <c r="B17" s="7" t="s">
        <v>42</v>
      </c>
      <c r="C17" s="7" t="s">
        <v>38</v>
      </c>
      <c r="D17" s="7" t="s">
        <v>213</v>
      </c>
      <c r="E17" s="7" t="s">
        <v>342</v>
      </c>
      <c r="F17" s="7" t="s">
        <v>192</v>
      </c>
      <c r="G17" s="13" t="s">
        <v>458</v>
      </c>
      <c r="H17" s="2"/>
      <c r="I17" s="18" t="s">
        <v>475</v>
      </c>
      <c r="J17" s="17" t="s">
        <v>324</v>
      </c>
      <c r="K17" s="16">
        <f t="shared" si="1"/>
        <v>6</v>
      </c>
    </row>
    <row r="18" spans="1:12" ht="47.25" customHeight="1" x14ac:dyDescent="0.2">
      <c r="A18" s="6">
        <v>141232</v>
      </c>
      <c r="B18" s="7" t="s">
        <v>135</v>
      </c>
      <c r="C18" s="7" t="s">
        <v>36</v>
      </c>
      <c r="D18" s="7" t="s">
        <v>275</v>
      </c>
      <c r="E18" s="7" t="s">
        <v>343</v>
      </c>
      <c r="F18" s="7" t="s">
        <v>192</v>
      </c>
      <c r="G18" s="13" t="s">
        <v>458</v>
      </c>
      <c r="H18" s="3"/>
      <c r="I18" s="18"/>
      <c r="J18" s="17" t="s">
        <v>325</v>
      </c>
      <c r="K18" s="16">
        <f t="shared" si="1"/>
        <v>5</v>
      </c>
    </row>
    <row r="19" spans="1:12" ht="47.25" customHeight="1" x14ac:dyDescent="0.2">
      <c r="A19" s="6">
        <v>150265</v>
      </c>
      <c r="B19" s="7" t="s">
        <v>16</v>
      </c>
      <c r="C19" s="7" t="s">
        <v>17</v>
      </c>
      <c r="D19" s="7" t="s">
        <v>301</v>
      </c>
      <c r="E19" s="7" t="s">
        <v>344</v>
      </c>
      <c r="F19" s="7" t="s">
        <v>192</v>
      </c>
      <c r="G19" s="13" t="s">
        <v>458</v>
      </c>
      <c r="H19" s="3"/>
      <c r="I19" s="18"/>
      <c r="J19" s="17" t="s">
        <v>326</v>
      </c>
      <c r="K19" s="16">
        <f t="shared" si="1"/>
        <v>7</v>
      </c>
      <c r="L19">
        <f>SUM(K3:K19)</f>
        <v>108</v>
      </c>
    </row>
    <row r="20" spans="1:12" ht="47.25" customHeight="1" x14ac:dyDescent="0.2">
      <c r="A20" s="6">
        <v>124247</v>
      </c>
      <c r="B20" s="7" t="s">
        <v>25</v>
      </c>
      <c r="C20" s="7" t="s">
        <v>26</v>
      </c>
      <c r="D20" s="7" t="s">
        <v>201</v>
      </c>
      <c r="E20" s="7" t="s">
        <v>347</v>
      </c>
      <c r="F20" s="7" t="s">
        <v>192</v>
      </c>
      <c r="G20" s="12" t="s">
        <v>459</v>
      </c>
      <c r="H20" s="2"/>
      <c r="I20" s="19" t="s">
        <v>476</v>
      </c>
      <c r="J20" s="19"/>
      <c r="K20" s="16">
        <f>COUNTIFS(G:G,I20)</f>
        <v>16</v>
      </c>
    </row>
    <row r="21" spans="1:12" ht="47.25" customHeight="1" x14ac:dyDescent="0.2">
      <c r="A21" s="6">
        <v>134451</v>
      </c>
      <c r="B21" s="7" t="s">
        <v>87</v>
      </c>
      <c r="C21" s="7" t="s">
        <v>88</v>
      </c>
      <c r="D21" s="7" t="s">
        <v>243</v>
      </c>
      <c r="E21" s="7" t="s">
        <v>348</v>
      </c>
      <c r="F21" s="7" t="s">
        <v>192</v>
      </c>
      <c r="G21" s="12" t="s">
        <v>459</v>
      </c>
      <c r="H21" s="2"/>
      <c r="I21" s="16"/>
      <c r="J21" s="16"/>
      <c r="K21" s="16">
        <f>SUM(K3:K20)</f>
        <v>124</v>
      </c>
    </row>
    <row r="22" spans="1:12" ht="47.25" customHeight="1" x14ac:dyDescent="0.2">
      <c r="A22" s="6">
        <v>137476</v>
      </c>
      <c r="B22" s="7" t="s">
        <v>104</v>
      </c>
      <c r="C22" s="7" t="s">
        <v>56</v>
      </c>
      <c r="D22" s="7" t="s">
        <v>254</v>
      </c>
      <c r="E22" s="7" t="s">
        <v>349</v>
      </c>
      <c r="F22" s="7" t="s">
        <v>192</v>
      </c>
      <c r="G22" s="12" t="s">
        <v>459</v>
      </c>
      <c r="H22" s="2"/>
    </row>
    <row r="23" spans="1:12" ht="47.25" customHeight="1" x14ac:dyDescent="0.2">
      <c r="A23" s="6">
        <v>155841</v>
      </c>
      <c r="B23" s="7" t="s">
        <v>184</v>
      </c>
      <c r="C23" s="7" t="s">
        <v>185</v>
      </c>
      <c r="D23" s="7" t="s">
        <v>125</v>
      </c>
      <c r="E23" s="7" t="s">
        <v>350</v>
      </c>
      <c r="F23" s="7" t="s">
        <v>192</v>
      </c>
      <c r="G23" s="12" t="s">
        <v>459</v>
      </c>
      <c r="H23" s="2"/>
    </row>
    <row r="24" spans="1:12" ht="47.25" customHeight="1" x14ac:dyDescent="0.2">
      <c r="A24" s="6">
        <v>130554</v>
      </c>
      <c r="B24" s="7" t="s">
        <v>50</v>
      </c>
      <c r="C24" s="7" t="s">
        <v>51</v>
      </c>
      <c r="D24" s="7" t="s">
        <v>220</v>
      </c>
      <c r="E24" s="7" t="s">
        <v>351</v>
      </c>
      <c r="F24" s="7" t="s">
        <v>192</v>
      </c>
      <c r="G24" s="12" t="s">
        <v>460</v>
      </c>
      <c r="H24" s="2"/>
    </row>
    <row r="25" spans="1:12" ht="47.25" customHeight="1" x14ac:dyDescent="0.2">
      <c r="A25" s="10">
        <v>130557</v>
      </c>
      <c r="B25" s="7" t="s">
        <v>52</v>
      </c>
      <c r="C25" s="7" t="s">
        <v>53</v>
      </c>
      <c r="D25" s="7" t="s">
        <v>221</v>
      </c>
      <c r="E25" s="7" t="s">
        <v>352</v>
      </c>
      <c r="F25" s="7" t="s">
        <v>192</v>
      </c>
      <c r="G25" s="12" t="s">
        <v>460</v>
      </c>
      <c r="H25" s="2"/>
    </row>
    <row r="26" spans="1:12" ht="47.25" customHeight="1" x14ac:dyDescent="0.2">
      <c r="A26" s="6">
        <v>132629</v>
      </c>
      <c r="B26" s="7" t="s">
        <v>77</v>
      </c>
      <c r="C26" s="7" t="s">
        <v>56</v>
      </c>
      <c r="D26" s="7" t="s">
        <v>236</v>
      </c>
      <c r="E26" s="7" t="s">
        <v>353</v>
      </c>
      <c r="F26" s="7" t="s">
        <v>192</v>
      </c>
      <c r="G26" s="12" t="s">
        <v>460</v>
      </c>
      <c r="H26" s="2"/>
    </row>
    <row r="27" spans="1:12" ht="47.25" customHeight="1" x14ac:dyDescent="0.2">
      <c r="A27" s="6">
        <v>133302</v>
      </c>
      <c r="B27" s="7" t="s">
        <v>84</v>
      </c>
      <c r="C27" s="7" t="s">
        <v>10</v>
      </c>
      <c r="D27" s="7" t="s">
        <v>240</v>
      </c>
      <c r="E27" s="7" t="s">
        <v>354</v>
      </c>
      <c r="F27" s="7" t="s">
        <v>192</v>
      </c>
      <c r="G27" s="12" t="s">
        <v>460</v>
      </c>
      <c r="H27" s="3"/>
    </row>
    <row r="28" spans="1:12" ht="47.25" customHeight="1" x14ac:dyDescent="0.2">
      <c r="A28" s="6">
        <v>134086</v>
      </c>
      <c r="B28" s="7" t="s">
        <v>86</v>
      </c>
      <c r="C28" s="7" t="s">
        <v>15</v>
      </c>
      <c r="D28" s="7" t="s">
        <v>242</v>
      </c>
      <c r="E28" s="7" t="s">
        <v>355</v>
      </c>
      <c r="F28" s="7" t="s">
        <v>192</v>
      </c>
      <c r="G28" s="12" t="s">
        <v>460</v>
      </c>
      <c r="H28" s="2"/>
    </row>
    <row r="29" spans="1:12" ht="47.25" customHeight="1" x14ac:dyDescent="0.2">
      <c r="A29" s="6">
        <v>135329</v>
      </c>
      <c r="B29" s="7" t="s">
        <v>96</v>
      </c>
      <c r="C29" s="7" t="s">
        <v>81</v>
      </c>
      <c r="D29" s="7" t="s">
        <v>249</v>
      </c>
      <c r="E29" s="7" t="s">
        <v>356</v>
      </c>
      <c r="F29" s="7" t="s">
        <v>192</v>
      </c>
      <c r="G29" s="12" t="s">
        <v>460</v>
      </c>
      <c r="H29" s="2"/>
    </row>
    <row r="30" spans="1:12" ht="47.25" customHeight="1" x14ac:dyDescent="0.2">
      <c r="A30" s="10">
        <v>141118</v>
      </c>
      <c r="B30" s="7" t="s">
        <v>131</v>
      </c>
      <c r="C30" s="7" t="s">
        <v>132</v>
      </c>
      <c r="D30" s="7" t="s">
        <v>274</v>
      </c>
      <c r="E30" s="7" t="s">
        <v>357</v>
      </c>
      <c r="F30" s="7" t="s">
        <v>192</v>
      </c>
      <c r="G30" s="12" t="s">
        <v>460</v>
      </c>
      <c r="H30" s="2"/>
    </row>
    <row r="31" spans="1:12" ht="47.25" customHeight="1" x14ac:dyDescent="0.2">
      <c r="A31" s="6">
        <v>150110</v>
      </c>
      <c r="B31" s="7" t="s">
        <v>167</v>
      </c>
      <c r="C31" s="7" t="s">
        <v>51</v>
      </c>
      <c r="D31" s="7" t="s">
        <v>300</v>
      </c>
      <c r="E31" s="7" t="s">
        <v>358</v>
      </c>
      <c r="F31" s="7" t="s">
        <v>192</v>
      </c>
      <c r="G31" s="12" t="s">
        <v>460</v>
      </c>
      <c r="H31" s="3"/>
    </row>
    <row r="32" spans="1:12" ht="47.25" customHeight="1" x14ac:dyDescent="0.2">
      <c r="A32" s="6">
        <v>155426</v>
      </c>
      <c r="B32" s="7" t="s">
        <v>183</v>
      </c>
      <c r="C32" s="7" t="s">
        <v>36</v>
      </c>
      <c r="D32" s="7" t="s">
        <v>313</v>
      </c>
      <c r="E32" s="7" t="s">
        <v>454</v>
      </c>
      <c r="F32" s="7" t="s">
        <v>191</v>
      </c>
      <c r="G32" s="12" t="s">
        <v>460</v>
      </c>
      <c r="H32" s="2"/>
    </row>
    <row r="33" spans="1:8" ht="47.25" customHeight="1" x14ac:dyDescent="0.2">
      <c r="A33" s="6">
        <v>128067</v>
      </c>
      <c r="B33" s="7" t="s">
        <v>32</v>
      </c>
      <c r="C33" s="7" t="s">
        <v>21</v>
      </c>
      <c r="D33" s="7" t="s">
        <v>207</v>
      </c>
      <c r="E33" s="7" t="s">
        <v>359</v>
      </c>
      <c r="F33" s="7" t="s">
        <v>192</v>
      </c>
      <c r="G33" s="12" t="s">
        <v>461</v>
      </c>
      <c r="H33" s="2"/>
    </row>
    <row r="34" spans="1:8" ht="47.25" customHeight="1" x14ac:dyDescent="0.2">
      <c r="A34" s="6">
        <v>132800</v>
      </c>
      <c r="B34" s="7" t="s">
        <v>80</v>
      </c>
      <c r="C34" s="7" t="s">
        <v>81</v>
      </c>
      <c r="D34" s="7" t="s">
        <v>237</v>
      </c>
      <c r="E34" s="7" t="s">
        <v>360</v>
      </c>
      <c r="F34" s="7" t="s">
        <v>192</v>
      </c>
      <c r="G34" s="12" t="s">
        <v>461</v>
      </c>
      <c r="H34" s="2"/>
    </row>
    <row r="35" spans="1:8" ht="47.25" customHeight="1" x14ac:dyDescent="0.2">
      <c r="A35" s="6">
        <v>133063</v>
      </c>
      <c r="B35" s="7" t="s">
        <v>82</v>
      </c>
      <c r="C35" s="7" t="s">
        <v>83</v>
      </c>
      <c r="D35" s="11" t="s">
        <v>238</v>
      </c>
      <c r="E35" s="7" t="s">
        <v>239</v>
      </c>
      <c r="F35" s="7" t="s">
        <v>192</v>
      </c>
      <c r="G35" s="12" t="s">
        <v>461</v>
      </c>
      <c r="H35" s="3"/>
    </row>
    <row r="36" spans="1:8" ht="47.25" customHeight="1" x14ac:dyDescent="0.2">
      <c r="A36" s="6">
        <v>138412</v>
      </c>
      <c r="B36" s="7" t="s">
        <v>113</v>
      </c>
      <c r="C36" s="7" t="s">
        <v>81</v>
      </c>
      <c r="D36" s="7" t="s">
        <v>262</v>
      </c>
      <c r="E36" s="7" t="s">
        <v>361</v>
      </c>
      <c r="F36" s="7" t="s">
        <v>192</v>
      </c>
      <c r="G36" s="12" t="s">
        <v>461</v>
      </c>
      <c r="H36" s="2"/>
    </row>
    <row r="37" spans="1:8" ht="47.25" customHeight="1" x14ac:dyDescent="0.2">
      <c r="A37" s="6">
        <v>141283</v>
      </c>
      <c r="B37" s="7" t="s">
        <v>136</v>
      </c>
      <c r="C37" s="7" t="s">
        <v>137</v>
      </c>
      <c r="D37" s="7" t="s">
        <v>276</v>
      </c>
      <c r="E37" s="7" t="s">
        <v>362</v>
      </c>
      <c r="F37" s="7" t="s">
        <v>192</v>
      </c>
      <c r="G37" s="12" t="s">
        <v>461</v>
      </c>
      <c r="H37" s="2"/>
    </row>
    <row r="38" spans="1:8" ht="47.25" customHeight="1" x14ac:dyDescent="0.2">
      <c r="A38" s="6">
        <v>141375</v>
      </c>
      <c r="B38" s="7" t="s">
        <v>138</v>
      </c>
      <c r="C38" s="7" t="s">
        <v>56</v>
      </c>
      <c r="D38" s="7" t="s">
        <v>277</v>
      </c>
      <c r="E38" s="7" t="s">
        <v>363</v>
      </c>
      <c r="F38" s="7" t="s">
        <v>192</v>
      </c>
      <c r="G38" s="12" t="s">
        <v>461</v>
      </c>
      <c r="H38" s="3"/>
    </row>
    <row r="39" spans="1:8" ht="47.25" customHeight="1" x14ac:dyDescent="0.2">
      <c r="A39" s="6">
        <v>117026</v>
      </c>
      <c r="B39" s="7" t="s">
        <v>14</v>
      </c>
      <c r="C39" s="7" t="s">
        <v>15</v>
      </c>
      <c r="D39" s="7" t="s">
        <v>196</v>
      </c>
      <c r="E39" s="7" t="s">
        <v>364</v>
      </c>
      <c r="F39" s="7" t="s">
        <v>192</v>
      </c>
      <c r="G39" s="12" t="s">
        <v>462</v>
      </c>
      <c r="H39" s="2"/>
    </row>
    <row r="40" spans="1:8" ht="47.25" customHeight="1" x14ac:dyDescent="0.2">
      <c r="A40" s="6">
        <v>124653</v>
      </c>
      <c r="B40" s="7" t="s">
        <v>27</v>
      </c>
      <c r="C40" s="7" t="s">
        <v>21</v>
      </c>
      <c r="D40" s="7" t="s">
        <v>365</v>
      </c>
      <c r="E40" s="7" t="s">
        <v>202</v>
      </c>
      <c r="F40" s="7" t="s">
        <v>192</v>
      </c>
      <c r="G40" s="12" t="s">
        <v>462</v>
      </c>
      <c r="H40" s="2"/>
    </row>
    <row r="41" spans="1:8" ht="47.25" customHeight="1" x14ac:dyDescent="0.2">
      <c r="A41" s="6">
        <v>128072</v>
      </c>
      <c r="B41" s="7" t="s">
        <v>33</v>
      </c>
      <c r="C41" s="7" t="s">
        <v>34</v>
      </c>
      <c r="D41" s="7" t="s">
        <v>208</v>
      </c>
      <c r="E41" s="7" t="s">
        <v>366</v>
      </c>
      <c r="F41" s="7" t="s">
        <v>192</v>
      </c>
      <c r="G41" s="12" t="s">
        <v>462</v>
      </c>
      <c r="H41" s="2"/>
    </row>
    <row r="42" spans="1:8" ht="47.25" customHeight="1" x14ac:dyDescent="0.2">
      <c r="A42" s="6">
        <v>128944</v>
      </c>
      <c r="B42" s="7" t="s">
        <v>39</v>
      </c>
      <c r="C42" s="7" t="s">
        <v>34</v>
      </c>
      <c r="D42" s="7" t="s">
        <v>211</v>
      </c>
      <c r="E42" s="7" t="s">
        <v>367</v>
      </c>
      <c r="F42" s="7" t="s">
        <v>192</v>
      </c>
      <c r="G42" s="12" t="s">
        <v>462</v>
      </c>
      <c r="H42" s="3"/>
    </row>
    <row r="43" spans="1:8" ht="47.25" customHeight="1" x14ac:dyDescent="0.2">
      <c r="A43" s="6">
        <v>125078</v>
      </c>
      <c r="B43" s="7" t="s">
        <v>28</v>
      </c>
      <c r="C43" s="7" t="s">
        <v>29</v>
      </c>
      <c r="D43" s="7" t="s">
        <v>203</v>
      </c>
      <c r="E43" s="7" t="s">
        <v>438</v>
      </c>
      <c r="F43" s="7" t="s">
        <v>192</v>
      </c>
      <c r="G43" s="12" t="s">
        <v>463</v>
      </c>
      <c r="H43" s="3"/>
    </row>
    <row r="44" spans="1:8" ht="47.25" customHeight="1" x14ac:dyDescent="0.2">
      <c r="A44" s="6">
        <v>132222</v>
      </c>
      <c r="B44" s="7" t="s">
        <v>66</v>
      </c>
      <c r="C44" s="7" t="s">
        <v>67</v>
      </c>
      <c r="D44" s="7" t="s">
        <v>229</v>
      </c>
      <c r="E44" s="7" t="s">
        <v>368</v>
      </c>
      <c r="F44" s="7" t="s">
        <v>192</v>
      </c>
      <c r="G44" s="12" t="s">
        <v>463</v>
      </c>
      <c r="H44" s="2"/>
    </row>
    <row r="45" spans="1:8" ht="47.25" customHeight="1" x14ac:dyDescent="0.2">
      <c r="A45" s="6">
        <v>138077</v>
      </c>
      <c r="B45" s="7" t="s">
        <v>106</v>
      </c>
      <c r="C45" s="7" t="s">
        <v>72</v>
      </c>
      <c r="D45" s="7" t="s">
        <v>256</v>
      </c>
      <c r="E45" s="7" t="s">
        <v>369</v>
      </c>
      <c r="F45" s="7" t="s">
        <v>192</v>
      </c>
      <c r="G45" s="12" t="s">
        <v>463</v>
      </c>
      <c r="H45" s="3"/>
    </row>
    <row r="46" spans="1:8" ht="47.25" customHeight="1" x14ac:dyDescent="0.2">
      <c r="A46" s="6">
        <v>144957</v>
      </c>
      <c r="B46" s="7" t="s">
        <v>153</v>
      </c>
      <c r="C46" s="7" t="s">
        <v>154</v>
      </c>
      <c r="D46" s="7" t="s">
        <v>289</v>
      </c>
      <c r="E46" s="7" t="s">
        <v>320</v>
      </c>
      <c r="F46" s="7" t="s">
        <v>192</v>
      </c>
      <c r="G46" s="12" t="s">
        <v>463</v>
      </c>
      <c r="H46" s="2"/>
    </row>
    <row r="47" spans="1:8" ht="47.25" customHeight="1" x14ac:dyDescent="0.2">
      <c r="A47" s="6">
        <v>145277</v>
      </c>
      <c r="B47" s="7" t="s">
        <v>155</v>
      </c>
      <c r="C47" s="7" t="s">
        <v>370</v>
      </c>
      <c r="D47" s="7" t="s">
        <v>290</v>
      </c>
      <c r="E47" s="7" t="s">
        <v>371</v>
      </c>
      <c r="F47" s="7" t="s">
        <v>192</v>
      </c>
      <c r="G47" s="12" t="s">
        <v>463</v>
      </c>
      <c r="H47" s="3"/>
    </row>
    <row r="48" spans="1:8" ht="47.25" customHeight="1" x14ac:dyDescent="0.2">
      <c r="A48" s="6">
        <v>149509</v>
      </c>
      <c r="B48" s="7" t="s">
        <v>164</v>
      </c>
      <c r="C48" s="7" t="s">
        <v>38</v>
      </c>
      <c r="D48" s="7" t="s">
        <v>297</v>
      </c>
      <c r="E48" s="7" t="s">
        <v>372</v>
      </c>
      <c r="F48" s="7" t="s">
        <v>192</v>
      </c>
      <c r="G48" s="12" t="s">
        <v>463</v>
      </c>
      <c r="H48" s="2"/>
    </row>
    <row r="49" spans="1:8" ht="47.25" customHeight="1" x14ac:dyDescent="0.2">
      <c r="A49" s="6">
        <v>149840</v>
      </c>
      <c r="B49" s="7" t="s">
        <v>165</v>
      </c>
      <c r="C49" s="7" t="s">
        <v>166</v>
      </c>
      <c r="D49" s="7" t="s">
        <v>298</v>
      </c>
      <c r="E49" s="7" t="s">
        <v>299</v>
      </c>
      <c r="F49" s="7" t="s">
        <v>191</v>
      </c>
      <c r="G49" s="12" t="s">
        <v>463</v>
      </c>
      <c r="H49" s="2"/>
    </row>
    <row r="50" spans="1:8" ht="47.25" customHeight="1" x14ac:dyDescent="0.2">
      <c r="A50" s="6">
        <v>156720</v>
      </c>
      <c r="B50" s="7" t="s">
        <v>186</v>
      </c>
      <c r="C50" s="7" t="s">
        <v>26</v>
      </c>
      <c r="D50" s="7" t="s">
        <v>314</v>
      </c>
      <c r="E50" s="7" t="s">
        <v>443</v>
      </c>
      <c r="F50" s="7" t="s">
        <v>192</v>
      </c>
      <c r="G50" s="12" t="s">
        <v>463</v>
      </c>
      <c r="H50" s="2"/>
    </row>
    <row r="51" spans="1:8" ht="47.25" customHeight="1" x14ac:dyDescent="0.2">
      <c r="A51" s="6">
        <v>105929</v>
      </c>
      <c r="B51" s="7" t="s">
        <v>6</v>
      </c>
      <c r="C51" s="7" t="s">
        <v>7</v>
      </c>
      <c r="D51" s="7" t="s">
        <v>322</v>
      </c>
      <c r="E51" s="7" t="s">
        <v>378</v>
      </c>
      <c r="F51" s="7" t="s">
        <v>191</v>
      </c>
      <c r="G51" s="12" t="s">
        <v>464</v>
      </c>
      <c r="H51" s="3"/>
    </row>
    <row r="52" spans="1:8" ht="47.25" customHeight="1" x14ac:dyDescent="0.2">
      <c r="A52" s="6">
        <v>115520</v>
      </c>
      <c r="B52" s="7" t="s">
        <v>11</v>
      </c>
      <c r="C52" s="7" t="s">
        <v>12</v>
      </c>
      <c r="D52" s="7" t="s">
        <v>194</v>
      </c>
      <c r="E52" s="7" t="s">
        <v>321</v>
      </c>
      <c r="F52" s="9" t="s">
        <v>191</v>
      </c>
      <c r="G52" s="12" t="s">
        <v>464</v>
      </c>
      <c r="H52" s="2"/>
    </row>
    <row r="53" spans="1:8" ht="47.25" customHeight="1" x14ac:dyDescent="0.2">
      <c r="A53" s="10">
        <v>130559</v>
      </c>
      <c r="B53" s="7" t="s">
        <v>54</v>
      </c>
      <c r="C53" s="7" t="s">
        <v>55</v>
      </c>
      <c r="D53" s="7" t="s">
        <v>222</v>
      </c>
      <c r="E53" s="7" t="s">
        <v>373</v>
      </c>
      <c r="F53" s="7" t="s">
        <v>191</v>
      </c>
      <c r="G53" s="12" t="s">
        <v>464</v>
      </c>
      <c r="H53" s="2"/>
    </row>
    <row r="54" spans="1:8" ht="47.25" customHeight="1" x14ac:dyDescent="0.2">
      <c r="A54" s="6">
        <v>131154</v>
      </c>
      <c r="B54" s="7" t="s">
        <v>61</v>
      </c>
      <c r="C54" s="7" t="s">
        <v>62</v>
      </c>
      <c r="D54" s="7" t="s">
        <v>377</v>
      </c>
      <c r="E54" s="7" t="s">
        <v>226</v>
      </c>
      <c r="F54" s="7" t="s">
        <v>189</v>
      </c>
      <c r="G54" s="12" t="s">
        <v>464</v>
      </c>
      <c r="H54" s="2"/>
    </row>
    <row r="55" spans="1:8" ht="47.25" customHeight="1" x14ac:dyDescent="0.2">
      <c r="A55" s="6">
        <v>134608</v>
      </c>
      <c r="B55" s="7" t="s">
        <v>89</v>
      </c>
      <c r="C55" s="7" t="s">
        <v>90</v>
      </c>
      <c r="D55" s="7" t="s">
        <v>244</v>
      </c>
      <c r="E55" s="7" t="s">
        <v>374</v>
      </c>
      <c r="F55" s="9" t="s">
        <v>191</v>
      </c>
      <c r="G55" s="12" t="s">
        <v>464</v>
      </c>
      <c r="H55" s="2"/>
    </row>
    <row r="56" spans="1:8" ht="47.25" customHeight="1" x14ac:dyDescent="0.2">
      <c r="A56" s="6">
        <v>139183</v>
      </c>
      <c r="B56" s="7" t="s">
        <v>119</v>
      </c>
      <c r="C56" s="7" t="s">
        <v>36</v>
      </c>
      <c r="D56" s="7" t="s">
        <v>266</v>
      </c>
      <c r="E56" s="7" t="s">
        <v>379</v>
      </c>
      <c r="F56" s="7" t="s">
        <v>191</v>
      </c>
      <c r="G56" s="12" t="s">
        <v>464</v>
      </c>
      <c r="H56" s="2"/>
    </row>
    <row r="57" spans="1:8" ht="47.25" customHeight="1" x14ac:dyDescent="0.2">
      <c r="A57" s="6">
        <v>147776</v>
      </c>
      <c r="B57" s="7" t="s">
        <v>159</v>
      </c>
      <c r="C57" s="7" t="s">
        <v>375</v>
      </c>
      <c r="D57" s="7" t="s">
        <v>293</v>
      </c>
      <c r="E57" s="7" t="s">
        <v>376</v>
      </c>
      <c r="F57" s="9" t="s">
        <v>191</v>
      </c>
      <c r="G57" s="12" t="s">
        <v>464</v>
      </c>
      <c r="H57" s="2"/>
    </row>
    <row r="58" spans="1:8" ht="47.25" customHeight="1" x14ac:dyDescent="0.2">
      <c r="A58" s="6">
        <v>132362</v>
      </c>
      <c r="B58" s="7" t="s">
        <v>70</v>
      </c>
      <c r="C58" s="7" t="s">
        <v>21</v>
      </c>
      <c r="D58" s="7" t="s">
        <v>231</v>
      </c>
      <c r="E58" s="7" t="s">
        <v>323</v>
      </c>
      <c r="F58" s="7" t="s">
        <v>191</v>
      </c>
      <c r="G58" s="12" t="s">
        <v>465</v>
      </c>
      <c r="H58" s="2"/>
    </row>
    <row r="59" spans="1:8" ht="47.25" customHeight="1" x14ac:dyDescent="0.2">
      <c r="A59" s="6">
        <v>132551</v>
      </c>
      <c r="B59" s="7" t="s">
        <v>73</v>
      </c>
      <c r="C59" s="7" t="s">
        <v>74</v>
      </c>
      <c r="D59" s="7" t="s">
        <v>233</v>
      </c>
      <c r="E59" s="7" t="s">
        <v>380</v>
      </c>
      <c r="F59" s="9" t="s">
        <v>191</v>
      </c>
      <c r="G59" s="12" t="s">
        <v>465</v>
      </c>
      <c r="H59" s="2"/>
    </row>
    <row r="60" spans="1:8" ht="47.25" customHeight="1" x14ac:dyDescent="0.2">
      <c r="A60" s="6">
        <v>153605</v>
      </c>
      <c r="B60" s="7" t="s">
        <v>178</v>
      </c>
      <c r="C60" s="7" t="s">
        <v>69</v>
      </c>
      <c r="D60" s="7" t="s">
        <v>309</v>
      </c>
      <c r="E60" s="7" t="s">
        <v>381</v>
      </c>
      <c r="F60" s="7" t="s">
        <v>191</v>
      </c>
      <c r="G60" s="12" t="s">
        <v>465</v>
      </c>
      <c r="H60" s="2"/>
    </row>
    <row r="61" spans="1:8" ht="47.25" customHeight="1" x14ac:dyDescent="0.2">
      <c r="A61" s="6">
        <v>134731</v>
      </c>
      <c r="B61" s="7" t="s">
        <v>91</v>
      </c>
      <c r="C61" s="7" t="s">
        <v>5</v>
      </c>
      <c r="D61" s="7" t="s">
        <v>245</v>
      </c>
      <c r="E61" s="7" t="s">
        <v>385</v>
      </c>
      <c r="F61" s="7" t="s">
        <v>191</v>
      </c>
      <c r="G61" s="12" t="s">
        <v>466</v>
      </c>
      <c r="H61" s="2"/>
    </row>
    <row r="62" spans="1:8" ht="47.25" customHeight="1" x14ac:dyDescent="0.2">
      <c r="A62" s="10">
        <v>136814</v>
      </c>
      <c r="B62" s="7" t="s">
        <v>98</v>
      </c>
      <c r="C62" s="7" t="s">
        <v>99</v>
      </c>
      <c r="D62" s="7" t="s">
        <v>251</v>
      </c>
      <c r="E62" s="7" t="s">
        <v>386</v>
      </c>
      <c r="F62" s="9" t="s">
        <v>191</v>
      </c>
      <c r="G62" s="12" t="s">
        <v>466</v>
      </c>
      <c r="H62" s="2"/>
    </row>
    <row r="63" spans="1:8" ht="47.25" customHeight="1" x14ac:dyDescent="0.2">
      <c r="A63" s="6">
        <v>137456</v>
      </c>
      <c r="B63" s="7" t="s">
        <v>102</v>
      </c>
      <c r="C63" s="7" t="s">
        <v>103</v>
      </c>
      <c r="D63" s="7" t="s">
        <v>253</v>
      </c>
      <c r="E63" s="7" t="s">
        <v>387</v>
      </c>
      <c r="F63" s="9" t="s">
        <v>191</v>
      </c>
      <c r="G63" s="12" t="s">
        <v>466</v>
      </c>
      <c r="H63" s="2"/>
    </row>
    <row r="64" spans="1:8" ht="47.25" customHeight="1" x14ac:dyDescent="0.2">
      <c r="A64" s="6">
        <v>138112</v>
      </c>
      <c r="B64" s="7" t="s">
        <v>107</v>
      </c>
      <c r="C64" s="7" t="s">
        <v>99</v>
      </c>
      <c r="D64" s="7" t="s">
        <v>257</v>
      </c>
      <c r="E64" s="7" t="s">
        <v>388</v>
      </c>
      <c r="F64" s="7" t="s">
        <v>189</v>
      </c>
      <c r="G64" s="12" t="s">
        <v>466</v>
      </c>
      <c r="H64" s="2"/>
    </row>
    <row r="65" spans="1:8" ht="47.25" customHeight="1" x14ac:dyDescent="0.2">
      <c r="A65" s="6">
        <v>141514</v>
      </c>
      <c r="B65" s="7" t="s">
        <v>91</v>
      </c>
      <c r="C65" s="7" t="s">
        <v>5</v>
      </c>
      <c r="D65" s="7" t="s">
        <v>279</v>
      </c>
      <c r="E65" s="7" t="s">
        <v>384</v>
      </c>
      <c r="F65" s="7" t="s">
        <v>192</v>
      </c>
      <c r="G65" s="12" t="s">
        <v>466</v>
      </c>
      <c r="H65" s="2"/>
    </row>
    <row r="66" spans="1:8" ht="47.25" customHeight="1" x14ac:dyDescent="0.2">
      <c r="A66" s="6">
        <v>101154</v>
      </c>
      <c r="B66" s="7" t="s">
        <v>2</v>
      </c>
      <c r="C66" s="7" t="s">
        <v>3</v>
      </c>
      <c r="D66" s="7" t="s">
        <v>188</v>
      </c>
      <c r="E66" s="7" t="s">
        <v>424</v>
      </c>
      <c r="F66" s="7" t="s">
        <v>189</v>
      </c>
      <c r="G66" s="12" t="s">
        <v>467</v>
      </c>
      <c r="H66" s="2"/>
    </row>
    <row r="67" spans="1:8" ht="47.25" customHeight="1" x14ac:dyDescent="0.2">
      <c r="A67" s="6">
        <v>121966</v>
      </c>
      <c r="B67" s="7" t="s">
        <v>22</v>
      </c>
      <c r="C67" s="7" t="s">
        <v>425</v>
      </c>
      <c r="D67" s="7" t="s">
        <v>199</v>
      </c>
      <c r="E67" s="7" t="s">
        <v>426</v>
      </c>
      <c r="F67" s="7" t="s">
        <v>189</v>
      </c>
      <c r="G67" s="12" t="s">
        <v>467</v>
      </c>
      <c r="H67" s="2"/>
    </row>
    <row r="68" spans="1:8" ht="47.25" customHeight="1" x14ac:dyDescent="0.2">
      <c r="A68" s="6">
        <v>123771</v>
      </c>
      <c r="B68" s="7" t="s">
        <v>23</v>
      </c>
      <c r="C68" s="7" t="s">
        <v>24</v>
      </c>
      <c r="D68" s="7" t="s">
        <v>200</v>
      </c>
      <c r="E68" s="7" t="s">
        <v>383</v>
      </c>
      <c r="F68" s="7" t="s">
        <v>191</v>
      </c>
      <c r="G68" s="12" t="s">
        <v>467</v>
      </c>
      <c r="H68" s="2"/>
    </row>
    <row r="69" spans="1:8" ht="47.25" customHeight="1" x14ac:dyDescent="0.2">
      <c r="A69" s="6">
        <v>131150</v>
      </c>
      <c r="B69" s="7" t="s">
        <v>59</v>
      </c>
      <c r="C69" s="7" t="s">
        <v>60</v>
      </c>
      <c r="D69" s="7" t="s">
        <v>224</v>
      </c>
      <c r="E69" s="7" t="s">
        <v>225</v>
      </c>
      <c r="F69" s="9" t="s">
        <v>187</v>
      </c>
      <c r="G69" s="12" t="s">
        <v>467</v>
      </c>
      <c r="H69" s="3"/>
    </row>
    <row r="70" spans="1:8" ht="47.25" customHeight="1" x14ac:dyDescent="0.2">
      <c r="A70" s="6">
        <v>131360</v>
      </c>
      <c r="B70" s="7" t="s">
        <v>63</v>
      </c>
      <c r="C70" s="7" t="s">
        <v>64</v>
      </c>
      <c r="D70" s="7" t="s">
        <v>227</v>
      </c>
      <c r="E70" s="7" t="s">
        <v>446</v>
      </c>
      <c r="F70" s="7" t="s">
        <v>191</v>
      </c>
      <c r="G70" s="12" t="s">
        <v>467</v>
      </c>
      <c r="H70" s="3"/>
    </row>
    <row r="71" spans="1:8" ht="47.25" customHeight="1" x14ac:dyDescent="0.2">
      <c r="A71" s="10">
        <v>132165</v>
      </c>
      <c r="B71" s="7" t="s">
        <v>65</v>
      </c>
      <c r="C71" s="7" t="s">
        <v>38</v>
      </c>
      <c r="D71" s="7" t="s">
        <v>228</v>
      </c>
      <c r="E71" s="7" t="s">
        <v>427</v>
      </c>
      <c r="F71" s="7" t="s">
        <v>189</v>
      </c>
      <c r="G71" s="12" t="s">
        <v>467</v>
      </c>
      <c r="H71" s="2"/>
    </row>
    <row r="72" spans="1:8" ht="47.25" customHeight="1" x14ac:dyDescent="0.2">
      <c r="A72" s="6">
        <v>142357</v>
      </c>
      <c r="B72" s="7" t="s">
        <v>145</v>
      </c>
      <c r="C72" s="7" t="s">
        <v>56</v>
      </c>
      <c r="D72" s="7" t="s">
        <v>283</v>
      </c>
      <c r="E72" s="7" t="s">
        <v>428</v>
      </c>
      <c r="F72" s="7" t="s">
        <v>189</v>
      </c>
      <c r="G72" s="12" t="s">
        <v>467</v>
      </c>
      <c r="H72" s="2"/>
    </row>
    <row r="73" spans="1:8" ht="47.25" customHeight="1" x14ac:dyDescent="0.2">
      <c r="A73" s="6">
        <v>143425</v>
      </c>
      <c r="B73" s="7" t="s">
        <v>146</v>
      </c>
      <c r="C73" s="7" t="s">
        <v>21</v>
      </c>
      <c r="D73" s="7" t="s">
        <v>284</v>
      </c>
      <c r="E73" s="7" t="s">
        <v>429</v>
      </c>
      <c r="F73" s="7" t="s">
        <v>189</v>
      </c>
      <c r="G73" s="12" t="s">
        <v>467</v>
      </c>
      <c r="H73" s="2"/>
    </row>
    <row r="74" spans="1:8" ht="47.25" customHeight="1" x14ac:dyDescent="0.2">
      <c r="A74" s="6">
        <v>155057</v>
      </c>
      <c r="B74" s="7" t="s">
        <v>181</v>
      </c>
      <c r="C74" s="7" t="s">
        <v>182</v>
      </c>
      <c r="D74" s="7" t="s">
        <v>312</v>
      </c>
      <c r="E74" s="7" t="s">
        <v>430</v>
      </c>
      <c r="F74" s="7" t="s">
        <v>189</v>
      </c>
      <c r="G74" s="12" t="s">
        <v>467</v>
      </c>
      <c r="H74" s="2"/>
    </row>
    <row r="75" spans="1:8" ht="47.25" customHeight="1" x14ac:dyDescent="0.2">
      <c r="A75" s="6">
        <v>127173</v>
      </c>
      <c r="B75" s="7" t="s">
        <v>30</v>
      </c>
      <c r="C75" s="7" t="s">
        <v>389</v>
      </c>
      <c r="D75" s="7" t="s">
        <v>205</v>
      </c>
      <c r="E75" s="7" t="s">
        <v>408</v>
      </c>
      <c r="F75" s="7" t="s">
        <v>189</v>
      </c>
      <c r="G75" s="12" t="s">
        <v>468</v>
      </c>
      <c r="H75" s="2"/>
    </row>
    <row r="76" spans="1:8" ht="47.25" customHeight="1" x14ac:dyDescent="0.2">
      <c r="A76" s="6">
        <v>129362</v>
      </c>
      <c r="B76" s="7" t="s">
        <v>43</v>
      </c>
      <c r="C76" s="7" t="s">
        <v>409</v>
      </c>
      <c r="D76" s="7" t="s">
        <v>214</v>
      </c>
      <c r="E76" s="7" t="s">
        <v>410</v>
      </c>
      <c r="F76" s="7" t="s">
        <v>189</v>
      </c>
      <c r="G76" s="12" t="s">
        <v>468</v>
      </c>
      <c r="H76" s="2"/>
    </row>
    <row r="77" spans="1:8" ht="47.25" customHeight="1" x14ac:dyDescent="0.2">
      <c r="A77" s="6">
        <v>134844</v>
      </c>
      <c r="B77" s="7" t="s">
        <v>94</v>
      </c>
      <c r="C77" s="7" t="s">
        <v>95</v>
      </c>
      <c r="D77" s="7" t="s">
        <v>248</v>
      </c>
      <c r="E77" s="7" t="s">
        <v>411</v>
      </c>
      <c r="F77" s="7" t="s">
        <v>189</v>
      </c>
      <c r="G77" s="12" t="s">
        <v>468</v>
      </c>
      <c r="H77" s="2"/>
    </row>
    <row r="78" spans="1:8" ht="47.25" customHeight="1" x14ac:dyDescent="0.2">
      <c r="A78" s="6">
        <v>138157</v>
      </c>
      <c r="B78" s="7" t="s">
        <v>108</v>
      </c>
      <c r="C78" s="7" t="s">
        <v>109</v>
      </c>
      <c r="D78" s="7" t="s">
        <v>412</v>
      </c>
      <c r="E78" s="7" t="s">
        <v>258</v>
      </c>
      <c r="F78" s="7" t="s">
        <v>189</v>
      </c>
      <c r="G78" s="12" t="s">
        <v>468</v>
      </c>
      <c r="H78" s="2"/>
    </row>
    <row r="79" spans="1:8" ht="47.25" customHeight="1" x14ac:dyDescent="0.2">
      <c r="A79" s="6">
        <v>138489</v>
      </c>
      <c r="B79" s="7" t="s">
        <v>114</v>
      </c>
      <c r="C79" s="7" t="s">
        <v>115</v>
      </c>
      <c r="D79" s="7" t="s">
        <v>263</v>
      </c>
      <c r="E79" s="7" t="s">
        <v>413</v>
      </c>
      <c r="F79" s="7" t="s">
        <v>189</v>
      </c>
      <c r="G79" s="12" t="s">
        <v>468</v>
      </c>
      <c r="H79" s="3"/>
    </row>
    <row r="80" spans="1:8" ht="47.25" customHeight="1" x14ac:dyDescent="0.2">
      <c r="A80" s="6">
        <v>141046</v>
      </c>
      <c r="B80" s="7" t="s">
        <v>127</v>
      </c>
      <c r="C80" s="7" t="s">
        <v>128</v>
      </c>
      <c r="D80" s="7" t="s">
        <v>272</v>
      </c>
      <c r="E80" s="7" t="s">
        <v>414</v>
      </c>
      <c r="F80" s="7" t="s">
        <v>189</v>
      </c>
      <c r="G80" s="12" t="s">
        <v>468</v>
      </c>
      <c r="H80" s="2"/>
    </row>
    <row r="81" spans="1:8" ht="47.25" customHeight="1" x14ac:dyDescent="0.2">
      <c r="A81" s="10">
        <v>143756</v>
      </c>
      <c r="B81" s="7" t="s">
        <v>147</v>
      </c>
      <c r="C81" s="7" t="s">
        <v>69</v>
      </c>
      <c r="D81" s="7" t="s">
        <v>285</v>
      </c>
      <c r="E81" s="7" t="s">
        <v>338</v>
      </c>
      <c r="F81" s="7" t="s">
        <v>192</v>
      </c>
      <c r="G81" s="12" t="s">
        <v>468</v>
      </c>
      <c r="H81" s="2"/>
    </row>
    <row r="82" spans="1:8" ht="47.25" customHeight="1" x14ac:dyDescent="0.2">
      <c r="A82" s="6">
        <v>150711</v>
      </c>
      <c r="B82" s="7" t="s">
        <v>170</v>
      </c>
      <c r="C82" s="7" t="s">
        <v>109</v>
      </c>
      <c r="D82" s="7" t="s">
        <v>304</v>
      </c>
      <c r="E82" s="7" t="s">
        <v>305</v>
      </c>
      <c r="F82" s="7" t="s">
        <v>189</v>
      </c>
      <c r="G82" s="12" t="s">
        <v>468</v>
      </c>
      <c r="H82" s="2"/>
    </row>
    <row r="83" spans="1:8" ht="47.25" customHeight="1" x14ac:dyDescent="0.2">
      <c r="A83" s="6">
        <v>152162</v>
      </c>
      <c r="B83" s="7" t="s">
        <v>175</v>
      </c>
      <c r="C83" s="7" t="s">
        <v>176</v>
      </c>
      <c r="D83" s="7" t="s">
        <v>415</v>
      </c>
      <c r="E83" s="7" t="s">
        <v>307</v>
      </c>
      <c r="F83" s="7" t="s">
        <v>189</v>
      </c>
      <c r="G83" s="12" t="s">
        <v>468</v>
      </c>
      <c r="H83" s="2"/>
    </row>
    <row r="84" spans="1:8" ht="47.25" customHeight="1" x14ac:dyDescent="0.2">
      <c r="A84" s="6">
        <v>121619</v>
      </c>
      <c r="B84" s="7" t="s">
        <v>18</v>
      </c>
      <c r="C84" s="7" t="s">
        <v>19</v>
      </c>
      <c r="D84" s="7" t="s">
        <v>197</v>
      </c>
      <c r="E84" s="7" t="s">
        <v>416</v>
      </c>
      <c r="F84" s="7" t="s">
        <v>189</v>
      </c>
      <c r="G84" s="12" t="s">
        <v>469</v>
      </c>
      <c r="H84" s="2"/>
    </row>
    <row r="85" spans="1:8" ht="47.25" customHeight="1" x14ac:dyDescent="0.2">
      <c r="A85" s="6">
        <v>129673</v>
      </c>
      <c r="B85" s="7" t="s">
        <v>44</v>
      </c>
      <c r="C85" s="7" t="s">
        <v>26</v>
      </c>
      <c r="D85" s="7" t="s">
        <v>215</v>
      </c>
      <c r="E85" s="7" t="s">
        <v>417</v>
      </c>
      <c r="F85" s="7" t="s">
        <v>189</v>
      </c>
      <c r="G85" s="12" t="s">
        <v>469</v>
      </c>
      <c r="H85" s="2"/>
    </row>
    <row r="86" spans="1:8" ht="47.25" customHeight="1" x14ac:dyDescent="0.2">
      <c r="A86" s="6">
        <v>129820</v>
      </c>
      <c r="B86" s="7" t="s">
        <v>46</v>
      </c>
      <c r="C86" s="7" t="s">
        <v>26</v>
      </c>
      <c r="D86" s="7" t="s">
        <v>217</v>
      </c>
      <c r="E86" s="7" t="s">
        <v>418</v>
      </c>
      <c r="F86" s="7" t="s">
        <v>189</v>
      </c>
      <c r="G86" s="12" t="s">
        <v>469</v>
      </c>
      <c r="H86" s="2"/>
    </row>
    <row r="87" spans="1:8" ht="47.25" customHeight="1" x14ac:dyDescent="0.2">
      <c r="A87" s="6">
        <v>134820</v>
      </c>
      <c r="B87" s="7" t="s">
        <v>92</v>
      </c>
      <c r="C87" s="7" t="s">
        <v>93</v>
      </c>
      <c r="D87" s="7" t="s">
        <v>246</v>
      </c>
      <c r="E87" s="7" t="s">
        <v>247</v>
      </c>
      <c r="F87" s="7" t="s">
        <v>189</v>
      </c>
      <c r="G87" s="12" t="s">
        <v>469</v>
      </c>
      <c r="H87" s="2"/>
    </row>
    <row r="88" spans="1:8" ht="47.25" customHeight="1" x14ac:dyDescent="0.2">
      <c r="A88" s="6">
        <v>141111</v>
      </c>
      <c r="B88" s="7" t="s">
        <v>129</v>
      </c>
      <c r="C88" s="7" t="s">
        <v>130</v>
      </c>
      <c r="D88" s="7" t="s">
        <v>273</v>
      </c>
      <c r="E88" s="7" t="s">
        <v>419</v>
      </c>
      <c r="F88" s="7" t="s">
        <v>189</v>
      </c>
      <c r="G88" s="12" t="s">
        <v>469</v>
      </c>
      <c r="H88" s="2"/>
    </row>
    <row r="89" spans="1:8" ht="47.25" customHeight="1" x14ac:dyDescent="0.2">
      <c r="A89" s="6">
        <v>141669</v>
      </c>
      <c r="B89" s="7" t="s">
        <v>140</v>
      </c>
      <c r="C89" s="7" t="s">
        <v>420</v>
      </c>
      <c r="D89" s="7" t="s">
        <v>421</v>
      </c>
      <c r="E89" s="7" t="s">
        <v>280</v>
      </c>
      <c r="F89" s="7" t="s">
        <v>189</v>
      </c>
      <c r="G89" s="12" t="s">
        <v>469</v>
      </c>
      <c r="H89" s="2"/>
    </row>
    <row r="90" spans="1:8" ht="47.25" customHeight="1" x14ac:dyDescent="0.2">
      <c r="A90" s="6">
        <v>154820</v>
      </c>
      <c r="B90" s="7" t="s">
        <v>180</v>
      </c>
      <c r="C90" s="7" t="s">
        <v>422</v>
      </c>
      <c r="D90" s="7" t="s">
        <v>311</v>
      </c>
      <c r="E90" s="7" t="s">
        <v>423</v>
      </c>
      <c r="F90" s="7" t="s">
        <v>189</v>
      </c>
      <c r="G90" s="12" t="s">
        <v>469</v>
      </c>
      <c r="H90" s="2"/>
    </row>
    <row r="91" spans="1:8" ht="47.25" customHeight="1" x14ac:dyDescent="0.2">
      <c r="A91" s="6">
        <v>125652</v>
      </c>
      <c r="B91" s="7" t="s">
        <v>30</v>
      </c>
      <c r="C91" s="7" t="s">
        <v>389</v>
      </c>
      <c r="D91" s="7" t="s">
        <v>204</v>
      </c>
      <c r="E91" s="7" t="s">
        <v>390</v>
      </c>
      <c r="F91" s="7" t="s">
        <v>187</v>
      </c>
      <c r="G91" s="13" t="s">
        <v>470</v>
      </c>
      <c r="H91" s="2"/>
    </row>
    <row r="92" spans="1:8" ht="47.25" customHeight="1" x14ac:dyDescent="0.2">
      <c r="A92" s="6">
        <v>128319</v>
      </c>
      <c r="B92" s="7" t="s">
        <v>37</v>
      </c>
      <c r="C92" s="7" t="s">
        <v>38</v>
      </c>
      <c r="D92" s="7" t="s">
        <v>210</v>
      </c>
      <c r="E92" s="7" t="s">
        <v>391</v>
      </c>
      <c r="F92" s="7" t="s">
        <v>187</v>
      </c>
      <c r="G92" s="13" t="s">
        <v>470</v>
      </c>
      <c r="H92" s="2"/>
    </row>
    <row r="93" spans="1:8" ht="47.25" customHeight="1" x14ac:dyDescent="0.2">
      <c r="A93" s="10">
        <v>128954</v>
      </c>
      <c r="B93" s="7" t="s">
        <v>40</v>
      </c>
      <c r="C93" s="7" t="s">
        <v>41</v>
      </c>
      <c r="D93" s="7" t="s">
        <v>212</v>
      </c>
      <c r="E93" s="7" t="s">
        <v>445</v>
      </c>
      <c r="F93" s="7" t="s">
        <v>191</v>
      </c>
      <c r="G93" s="13" t="s">
        <v>470</v>
      </c>
      <c r="H93" s="2"/>
    </row>
    <row r="94" spans="1:8" ht="47.25" customHeight="1" x14ac:dyDescent="0.2">
      <c r="A94" s="6">
        <v>130776</v>
      </c>
      <c r="B94" s="7" t="s">
        <v>57</v>
      </c>
      <c r="C94" s="7" t="s">
        <v>58</v>
      </c>
      <c r="D94" s="7" t="s">
        <v>223</v>
      </c>
      <c r="E94" s="7" t="s">
        <v>392</v>
      </c>
      <c r="F94" s="7" t="s">
        <v>187</v>
      </c>
      <c r="G94" s="13" t="s">
        <v>324</v>
      </c>
      <c r="H94" s="3"/>
    </row>
    <row r="95" spans="1:8" ht="47.25" customHeight="1" x14ac:dyDescent="0.2">
      <c r="A95" s="6">
        <v>140464</v>
      </c>
      <c r="B95" s="7" t="s">
        <v>123</v>
      </c>
      <c r="C95" s="7" t="s">
        <v>38</v>
      </c>
      <c r="D95" s="7" t="s">
        <v>270</v>
      </c>
      <c r="E95" s="7" t="s">
        <v>393</v>
      </c>
      <c r="F95" s="7" t="s">
        <v>187</v>
      </c>
      <c r="G95" s="13" t="s">
        <v>324</v>
      </c>
      <c r="H95" s="2"/>
    </row>
    <row r="96" spans="1:8" ht="47.25" customHeight="1" x14ac:dyDescent="0.2">
      <c r="A96" s="6">
        <v>149406</v>
      </c>
      <c r="B96" s="7" t="s">
        <v>163</v>
      </c>
      <c r="C96" s="7" t="s">
        <v>38</v>
      </c>
      <c r="D96" s="7" t="s">
        <v>296</v>
      </c>
      <c r="E96" s="7" t="s">
        <v>394</v>
      </c>
      <c r="F96" s="7" t="s">
        <v>187</v>
      </c>
      <c r="G96" s="13" t="s">
        <v>324</v>
      </c>
      <c r="H96" s="2"/>
    </row>
    <row r="97" spans="1:8" ht="47.25" customHeight="1" x14ac:dyDescent="0.2">
      <c r="A97" s="6">
        <v>137061</v>
      </c>
      <c r="B97" s="7" t="s">
        <v>100</v>
      </c>
      <c r="C97" s="7" t="s">
        <v>101</v>
      </c>
      <c r="D97" s="7" t="s">
        <v>252</v>
      </c>
      <c r="E97" s="7" t="s">
        <v>395</v>
      </c>
      <c r="F97" s="7" t="s">
        <v>187</v>
      </c>
      <c r="G97" s="13" t="s">
        <v>325</v>
      </c>
      <c r="H97" s="2"/>
    </row>
    <row r="98" spans="1:8" ht="47.25" customHeight="1" x14ac:dyDescent="0.2">
      <c r="A98" s="6">
        <v>142024</v>
      </c>
      <c r="B98" s="7" t="s">
        <v>141</v>
      </c>
      <c r="C98" s="7" t="s">
        <v>142</v>
      </c>
      <c r="D98" s="7" t="s">
        <v>281</v>
      </c>
      <c r="E98" s="7" t="s">
        <v>282</v>
      </c>
      <c r="F98" s="7" t="s">
        <v>187</v>
      </c>
      <c r="G98" s="13" t="s">
        <v>325</v>
      </c>
      <c r="H98" s="2"/>
    </row>
    <row r="99" spans="1:8" ht="47.25" customHeight="1" x14ac:dyDescent="0.2">
      <c r="A99" s="6">
        <v>144075</v>
      </c>
      <c r="B99" s="7" t="s">
        <v>148</v>
      </c>
      <c r="C99" s="7" t="s">
        <v>149</v>
      </c>
      <c r="D99" s="7" t="s">
        <v>286</v>
      </c>
      <c r="E99" s="7" t="s">
        <v>396</v>
      </c>
      <c r="F99" s="7" t="s">
        <v>187</v>
      </c>
      <c r="G99" s="13" t="s">
        <v>325</v>
      </c>
      <c r="H99" s="2"/>
    </row>
    <row r="100" spans="1:8" ht="47.25" customHeight="1" x14ac:dyDescent="0.2">
      <c r="A100" s="10">
        <v>150540</v>
      </c>
      <c r="B100" s="7" t="s">
        <v>168</v>
      </c>
      <c r="C100" s="7" t="s">
        <v>169</v>
      </c>
      <c r="D100" s="7" t="s">
        <v>302</v>
      </c>
      <c r="E100" s="7" t="s">
        <v>303</v>
      </c>
      <c r="F100" s="7" t="s">
        <v>187</v>
      </c>
      <c r="G100" s="13" t="s">
        <v>325</v>
      </c>
      <c r="H100" s="2"/>
    </row>
    <row r="101" spans="1:8" ht="47.25" customHeight="1" x14ac:dyDescent="0.2">
      <c r="A101" s="6">
        <v>152473</v>
      </c>
      <c r="B101" s="7" t="s">
        <v>177</v>
      </c>
      <c r="C101" s="7" t="s">
        <v>397</v>
      </c>
      <c r="D101" s="7" t="s">
        <v>308</v>
      </c>
      <c r="E101" s="7" t="s">
        <v>398</v>
      </c>
      <c r="F101" s="7" t="s">
        <v>187</v>
      </c>
      <c r="G101" s="13" t="s">
        <v>325</v>
      </c>
      <c r="H101" s="2"/>
    </row>
    <row r="102" spans="1:8" ht="47.25" customHeight="1" x14ac:dyDescent="0.2">
      <c r="A102" s="6">
        <v>112260</v>
      </c>
      <c r="B102" s="7" t="s">
        <v>8</v>
      </c>
      <c r="C102" s="7" t="s">
        <v>9</v>
      </c>
      <c r="D102" s="7" t="s">
        <v>399</v>
      </c>
      <c r="E102" s="7" t="s">
        <v>193</v>
      </c>
      <c r="F102" s="7" t="s">
        <v>187</v>
      </c>
      <c r="G102" s="13" t="s">
        <v>326</v>
      </c>
      <c r="H102" s="3"/>
    </row>
    <row r="103" spans="1:8" ht="47.25" customHeight="1" x14ac:dyDescent="0.2">
      <c r="A103" s="6">
        <v>132692</v>
      </c>
      <c r="B103" s="7" t="s">
        <v>78</v>
      </c>
      <c r="C103" s="7" t="s">
        <v>79</v>
      </c>
      <c r="D103" s="7" t="s">
        <v>400</v>
      </c>
      <c r="E103" s="7" t="s">
        <v>401</v>
      </c>
      <c r="F103" s="7" t="s">
        <v>187</v>
      </c>
      <c r="G103" s="12" t="s">
        <v>326</v>
      </c>
      <c r="H103" s="3"/>
    </row>
    <row r="104" spans="1:8" ht="47.25" customHeight="1" x14ac:dyDescent="0.2">
      <c r="A104" s="6">
        <v>138715</v>
      </c>
      <c r="B104" s="7" t="s">
        <v>116</v>
      </c>
      <c r="C104" s="7" t="s">
        <v>117</v>
      </c>
      <c r="D104" s="7" t="s">
        <v>264</v>
      </c>
      <c r="E104" s="7" t="s">
        <v>402</v>
      </c>
      <c r="F104" s="7" t="s">
        <v>187</v>
      </c>
      <c r="G104" s="13" t="s">
        <v>326</v>
      </c>
      <c r="H104" s="2"/>
    </row>
    <row r="105" spans="1:8" ht="47.25" customHeight="1" x14ac:dyDescent="0.2">
      <c r="A105" s="6">
        <v>139222</v>
      </c>
      <c r="B105" s="7" t="s">
        <v>116</v>
      </c>
      <c r="C105" s="7" t="s">
        <v>403</v>
      </c>
      <c r="D105" s="7" t="s">
        <v>267</v>
      </c>
      <c r="E105" s="7" t="s">
        <v>404</v>
      </c>
      <c r="F105" s="7" t="s">
        <v>187</v>
      </c>
      <c r="G105" s="13" t="s">
        <v>326</v>
      </c>
      <c r="H105" s="2"/>
    </row>
    <row r="106" spans="1:8" ht="47.25" customHeight="1" x14ac:dyDescent="0.2">
      <c r="A106" s="6">
        <v>140266</v>
      </c>
      <c r="B106" s="7" t="s">
        <v>122</v>
      </c>
      <c r="C106" s="7" t="s">
        <v>56</v>
      </c>
      <c r="D106" s="7" t="s">
        <v>269</v>
      </c>
      <c r="E106" s="7" t="s">
        <v>405</v>
      </c>
      <c r="F106" s="7" t="s">
        <v>187</v>
      </c>
      <c r="G106" s="13" t="s">
        <v>326</v>
      </c>
      <c r="H106" s="3"/>
    </row>
    <row r="107" spans="1:8" ht="47.25" customHeight="1" x14ac:dyDescent="0.2">
      <c r="A107" s="6">
        <v>140903</v>
      </c>
      <c r="B107" s="7" t="s">
        <v>126</v>
      </c>
      <c r="C107" s="7" t="s">
        <v>38</v>
      </c>
      <c r="D107" s="7" t="s">
        <v>271</v>
      </c>
      <c r="E107" s="7" t="s">
        <v>406</v>
      </c>
      <c r="F107" s="7" t="s">
        <v>187</v>
      </c>
      <c r="G107" s="13" t="s">
        <v>326</v>
      </c>
      <c r="H107" s="2"/>
    </row>
    <row r="108" spans="1:8" ht="47.25" customHeight="1" x14ac:dyDescent="0.2">
      <c r="A108" s="6">
        <v>147777</v>
      </c>
      <c r="B108" s="7" t="s">
        <v>160</v>
      </c>
      <c r="C108" s="7" t="s">
        <v>161</v>
      </c>
      <c r="D108" s="7" t="s">
        <v>407</v>
      </c>
      <c r="E108" s="7" t="s">
        <v>294</v>
      </c>
      <c r="F108" s="7" t="s">
        <v>187</v>
      </c>
      <c r="G108" s="13" t="s">
        <v>326</v>
      </c>
      <c r="H108" s="2"/>
    </row>
    <row r="109" spans="1:8" ht="34.5" customHeight="1" x14ac:dyDescent="0.2">
      <c r="A109" s="6">
        <v>103615</v>
      </c>
      <c r="B109" s="7" t="s">
        <v>4</v>
      </c>
      <c r="C109" s="7" t="s">
        <v>5</v>
      </c>
      <c r="D109" s="7" t="s">
        <v>190</v>
      </c>
      <c r="E109" s="7" t="s">
        <v>382</v>
      </c>
      <c r="F109" s="7" t="s">
        <v>191</v>
      </c>
      <c r="G109" s="12" t="s">
        <v>476</v>
      </c>
      <c r="H109" s="3"/>
    </row>
    <row r="110" spans="1:8" ht="34.5" customHeight="1" x14ac:dyDescent="0.2">
      <c r="A110" s="6">
        <v>121621</v>
      </c>
      <c r="B110" s="7" t="s">
        <v>20</v>
      </c>
      <c r="C110" s="7" t="s">
        <v>21</v>
      </c>
      <c r="D110" s="7" t="s">
        <v>198</v>
      </c>
      <c r="E110" s="7" t="s">
        <v>437</v>
      </c>
      <c r="F110" s="7" t="s">
        <v>192</v>
      </c>
      <c r="G110" s="12" t="s">
        <v>476</v>
      </c>
      <c r="H110" s="3"/>
    </row>
    <row r="111" spans="1:8" ht="34.5" customHeight="1" x14ac:dyDescent="0.2">
      <c r="A111" s="6">
        <v>128059</v>
      </c>
      <c r="B111" s="7" t="s">
        <v>31</v>
      </c>
      <c r="C111" s="7" t="s">
        <v>12</v>
      </c>
      <c r="D111" s="7" t="s">
        <v>206</v>
      </c>
      <c r="E111" s="7" t="s">
        <v>435</v>
      </c>
      <c r="F111" s="7" t="s">
        <v>191</v>
      </c>
      <c r="G111" s="12" t="s">
        <v>476</v>
      </c>
      <c r="H111" s="3"/>
    </row>
    <row r="112" spans="1:8" ht="34.5" customHeight="1" x14ac:dyDescent="0.2">
      <c r="A112" s="6">
        <v>130087</v>
      </c>
      <c r="B112" s="7" t="s">
        <v>47</v>
      </c>
      <c r="C112" s="7" t="s">
        <v>48</v>
      </c>
      <c r="D112" s="7" t="s">
        <v>218</v>
      </c>
      <c r="E112" s="7" t="s">
        <v>439</v>
      </c>
      <c r="F112" s="7" t="s">
        <v>192</v>
      </c>
      <c r="G112" s="12" t="s">
        <v>476</v>
      </c>
      <c r="H112" s="2"/>
    </row>
    <row r="113" spans="1:8" ht="34.5" customHeight="1" x14ac:dyDescent="0.2">
      <c r="A113" s="6">
        <v>130301</v>
      </c>
      <c r="B113" s="7" t="s">
        <v>49</v>
      </c>
      <c r="C113" s="7" t="s">
        <v>34</v>
      </c>
      <c r="D113" s="7" t="s">
        <v>219</v>
      </c>
      <c r="E113" s="7" t="s">
        <v>440</v>
      </c>
      <c r="F113" s="7" t="s">
        <v>192</v>
      </c>
      <c r="G113" s="12" t="s">
        <v>476</v>
      </c>
      <c r="H113" s="2"/>
    </row>
    <row r="114" spans="1:8" ht="34.5" customHeight="1" x14ac:dyDescent="0.2">
      <c r="A114" s="6">
        <v>132561</v>
      </c>
      <c r="B114" s="7" t="s">
        <v>75</v>
      </c>
      <c r="C114" s="7" t="s">
        <v>76</v>
      </c>
      <c r="D114" s="7" t="s">
        <v>234</v>
      </c>
      <c r="E114" s="7" t="s">
        <v>447</v>
      </c>
      <c r="F114" s="7" t="s">
        <v>191</v>
      </c>
      <c r="G114" s="12" t="s">
        <v>476</v>
      </c>
      <c r="H114" s="2"/>
    </row>
    <row r="115" spans="1:8" ht="34.5" customHeight="1" x14ac:dyDescent="0.2">
      <c r="A115" s="6">
        <v>132569</v>
      </c>
      <c r="B115" s="7" t="s">
        <v>75</v>
      </c>
      <c r="C115" s="7" t="s">
        <v>76</v>
      </c>
      <c r="D115" s="7" t="s">
        <v>235</v>
      </c>
      <c r="E115" s="7" t="s">
        <v>448</v>
      </c>
      <c r="F115" s="7" t="s">
        <v>191</v>
      </c>
      <c r="G115" s="12" t="s">
        <v>476</v>
      </c>
      <c r="H115" s="2"/>
    </row>
    <row r="116" spans="1:8" ht="34.5" customHeight="1" x14ac:dyDescent="0.2">
      <c r="A116" s="6">
        <v>139374</v>
      </c>
      <c r="B116" s="7" t="s">
        <v>120</v>
      </c>
      <c r="C116" s="7" t="s">
        <v>121</v>
      </c>
      <c r="D116" s="7" t="s">
        <v>268</v>
      </c>
      <c r="E116" s="7" t="s">
        <v>431</v>
      </c>
      <c r="F116" s="7" t="s">
        <v>192</v>
      </c>
      <c r="G116" s="12" t="s">
        <v>476</v>
      </c>
      <c r="H116" s="2"/>
    </row>
    <row r="117" spans="1:8" ht="34.5" customHeight="1" x14ac:dyDescent="0.2">
      <c r="A117" s="6">
        <v>141196</v>
      </c>
      <c r="B117" s="7" t="s">
        <v>133</v>
      </c>
      <c r="C117" s="7" t="s">
        <v>134</v>
      </c>
      <c r="D117" s="7" t="s">
        <v>449</v>
      </c>
      <c r="E117" s="7" t="s">
        <v>450</v>
      </c>
      <c r="F117" s="9" t="s">
        <v>191</v>
      </c>
      <c r="G117" s="12" t="s">
        <v>476</v>
      </c>
      <c r="H117" s="2"/>
    </row>
    <row r="118" spans="1:8" ht="34.5" customHeight="1" x14ac:dyDescent="0.2">
      <c r="A118" s="6">
        <v>141431</v>
      </c>
      <c r="B118" s="7" t="s">
        <v>139</v>
      </c>
      <c r="C118" s="7" t="s">
        <v>451</v>
      </c>
      <c r="D118" s="7" t="s">
        <v>278</v>
      </c>
      <c r="E118" s="7" t="s">
        <v>452</v>
      </c>
      <c r="F118" s="7" t="s">
        <v>191</v>
      </c>
      <c r="G118" s="12" t="s">
        <v>476</v>
      </c>
      <c r="H118" s="2"/>
    </row>
    <row r="119" spans="1:8" ht="34.5" customHeight="1" x14ac:dyDescent="0.2">
      <c r="A119" s="6">
        <v>144461</v>
      </c>
      <c r="B119" s="7" t="s">
        <v>150</v>
      </c>
      <c r="C119" s="7" t="s">
        <v>151</v>
      </c>
      <c r="D119" s="7" t="s">
        <v>287</v>
      </c>
      <c r="E119" s="7" t="s">
        <v>444</v>
      </c>
      <c r="F119" s="7" t="s">
        <v>187</v>
      </c>
      <c r="G119" s="12" t="s">
        <v>476</v>
      </c>
      <c r="H119" s="3"/>
    </row>
    <row r="120" spans="1:8" ht="34.5" customHeight="1" x14ac:dyDescent="0.2">
      <c r="A120" s="6">
        <v>144830</v>
      </c>
      <c r="B120" s="7" t="s">
        <v>152</v>
      </c>
      <c r="C120" s="7" t="s">
        <v>34</v>
      </c>
      <c r="D120" s="7" t="s">
        <v>288</v>
      </c>
      <c r="E120" s="7" t="s">
        <v>441</v>
      </c>
      <c r="F120" s="7" t="s">
        <v>192</v>
      </c>
      <c r="G120" s="12" t="s">
        <v>476</v>
      </c>
      <c r="H120" s="2"/>
    </row>
    <row r="121" spans="1:8" ht="34.5" customHeight="1" x14ac:dyDescent="0.2">
      <c r="A121" s="6">
        <v>147162</v>
      </c>
      <c r="B121" s="7" t="s">
        <v>157</v>
      </c>
      <c r="C121" s="7" t="s">
        <v>158</v>
      </c>
      <c r="D121" s="7" t="s">
        <v>292</v>
      </c>
      <c r="E121" s="7" t="s">
        <v>432</v>
      </c>
      <c r="F121" s="7" t="s">
        <v>192</v>
      </c>
      <c r="G121" s="12" t="s">
        <v>476</v>
      </c>
      <c r="H121" s="3"/>
    </row>
    <row r="122" spans="1:8" ht="34.5" customHeight="1" x14ac:dyDescent="0.2">
      <c r="A122" s="6">
        <v>147840</v>
      </c>
      <c r="B122" s="7" t="s">
        <v>162</v>
      </c>
      <c r="C122" s="7" t="s">
        <v>36</v>
      </c>
      <c r="D122" s="7" t="s">
        <v>295</v>
      </c>
      <c r="E122" s="7" t="s">
        <v>453</v>
      </c>
      <c r="F122" s="7" t="s">
        <v>191</v>
      </c>
      <c r="G122" s="12" t="s">
        <v>476</v>
      </c>
      <c r="H122" s="2"/>
    </row>
    <row r="123" spans="1:8" ht="34.5" customHeight="1" x14ac:dyDescent="0.2">
      <c r="A123" s="6">
        <v>150994</v>
      </c>
      <c r="B123" s="7" t="s">
        <v>173</v>
      </c>
      <c r="C123" s="7" t="s">
        <v>174</v>
      </c>
      <c r="D123" s="7" t="s">
        <v>433</v>
      </c>
      <c r="E123" s="7" t="s">
        <v>434</v>
      </c>
      <c r="F123" s="7" t="s">
        <v>192</v>
      </c>
      <c r="G123" s="12" t="s">
        <v>476</v>
      </c>
      <c r="H123" s="3"/>
    </row>
    <row r="124" spans="1:8" ht="34.5" customHeight="1" x14ac:dyDescent="0.2">
      <c r="A124" s="6">
        <v>153607</v>
      </c>
      <c r="B124" s="7" t="s">
        <v>179</v>
      </c>
      <c r="C124" s="7" t="s">
        <v>56</v>
      </c>
      <c r="D124" s="7" t="s">
        <v>310</v>
      </c>
      <c r="E124" s="7" t="s">
        <v>442</v>
      </c>
      <c r="F124" s="7" t="s">
        <v>192</v>
      </c>
      <c r="G124" s="12" t="s">
        <v>476</v>
      </c>
      <c r="H124" s="3"/>
    </row>
    <row r="125" spans="1:8" x14ac:dyDescent="0.15">
      <c r="A125" s="15"/>
      <c r="B125" s="15"/>
      <c r="C125" s="15"/>
      <c r="D125" s="15"/>
      <c r="E125" s="15"/>
      <c r="F125" s="15"/>
      <c r="G125" s="15"/>
    </row>
  </sheetData>
  <sortState xmlns:xlrd2="http://schemas.microsoft.com/office/spreadsheetml/2017/richdata2" ref="A3:G124">
    <sortCondition ref="G3:G124"/>
    <sortCondition ref="A3:A124"/>
  </sortState>
  <mergeCells count="9">
    <mergeCell ref="I15:I16"/>
    <mergeCell ref="I17:I19"/>
    <mergeCell ref="I20:J20"/>
    <mergeCell ref="B1:C1"/>
    <mergeCell ref="I3:I6"/>
    <mergeCell ref="I7:I8"/>
    <mergeCell ref="I9:J9"/>
    <mergeCell ref="I10:J10"/>
    <mergeCell ref="I11:I14"/>
  </mergeCells>
  <phoneticPr fontId="1" type="noConversion"/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Sheet9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at548</cp:lastModifiedBy>
  <cp:lastPrinted>2026-01-26T10:42:13Z</cp:lastPrinted>
  <dcterms:created xsi:type="dcterms:W3CDTF">2025-11-13T07:02:27Z</dcterms:created>
  <dcterms:modified xsi:type="dcterms:W3CDTF">2026-03-27T07:55:22Z</dcterms:modified>
</cp:coreProperties>
</file>