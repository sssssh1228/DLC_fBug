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Dell\Desktop\ASE'26\"/>
    </mc:Choice>
  </mc:AlternateContent>
  <xr:revisionPtr revIDLastSave="0" documentId="13_ncr:1_{C638205C-E724-4BB0-818B-8D418327666D}" xr6:coauthVersionLast="47" xr6:coauthVersionMax="47" xr10:uidLastSave="{00000000-0000-0000-0000-000000000000}"/>
  <bookViews>
    <workbookView xWindow="-120" yWindow="-120" windowWidth="29040" windowHeight="15840" xr2:uid="{00000000-000D-0000-FFFF-FFFF00000000}"/>
  </bookViews>
  <sheets>
    <sheet name="Sheet9 (2)" sheetId="17" r:id="rId1"/>
    <sheet name="Sheet1" sheetId="18" r:id="rId2"/>
    <sheet name="Sheet9" sheetId="15" r:id="rId3"/>
    <sheet name="Sheet2" sheetId="7"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4" i="15" l="1"/>
  <c r="M14" i="15"/>
  <c r="L14" i="15"/>
  <c r="K5" i="17"/>
  <c r="K4" i="17"/>
  <c r="K20" i="17"/>
  <c r="K12" i="17"/>
  <c r="K13" i="17"/>
  <c r="K14" i="17"/>
  <c r="K15" i="17"/>
  <c r="K16" i="17"/>
  <c r="K17" i="17"/>
  <c r="K18" i="17"/>
  <c r="K19" i="17"/>
  <c r="K11" i="17"/>
  <c r="K10" i="17"/>
  <c r="K9" i="17"/>
  <c r="K8" i="17"/>
  <c r="K6" i="17"/>
  <c r="K7" i="17"/>
  <c r="K3" i="17"/>
  <c r="L7" i="15"/>
  <c r="M7" i="15"/>
  <c r="Z10" i="15"/>
  <c r="W10" i="15"/>
  <c r="V10" i="15"/>
  <c r="U10" i="15"/>
  <c r="T10" i="15"/>
  <c r="S10" i="15"/>
  <c r="R10" i="15"/>
  <c r="Q10" i="15"/>
  <c r="P10" i="15"/>
  <c r="O10" i="15"/>
  <c r="N10" i="15"/>
  <c r="M10" i="15"/>
  <c r="L10" i="15"/>
  <c r="X10" i="15" s="1"/>
  <c r="Z9" i="15"/>
  <c r="W9" i="15"/>
  <c r="V9" i="15"/>
  <c r="U9" i="15"/>
  <c r="T9" i="15"/>
  <c r="S9" i="15"/>
  <c r="R9" i="15"/>
  <c r="Q9" i="15"/>
  <c r="P9" i="15"/>
  <c r="O9" i="15"/>
  <c r="N9" i="15"/>
  <c r="M9" i="15"/>
  <c r="L9" i="15"/>
  <c r="X9" i="15" s="1"/>
  <c r="Z8" i="15"/>
  <c r="W8" i="15"/>
  <c r="V8" i="15"/>
  <c r="U8" i="15"/>
  <c r="T8" i="15"/>
  <c r="S8" i="15"/>
  <c r="R8" i="15"/>
  <c r="Q8" i="15"/>
  <c r="P8" i="15"/>
  <c r="O8" i="15"/>
  <c r="N8" i="15"/>
  <c r="M8" i="15"/>
  <c r="L8" i="15"/>
  <c r="X8" i="15" s="1"/>
  <c r="Z7" i="15"/>
  <c r="W7" i="15"/>
  <c r="V7" i="15"/>
  <c r="U7" i="15"/>
  <c r="T7" i="15"/>
  <c r="S7" i="15"/>
  <c r="R7" i="15"/>
  <c r="Q7" i="15"/>
  <c r="P7" i="15"/>
  <c r="O7" i="15"/>
  <c r="N7" i="15"/>
  <c r="K21" i="17" l="1"/>
  <c r="L19" i="17"/>
  <c r="X7" i="15"/>
  <c r="Z11" i="15"/>
  <c r="Y8" i="15"/>
  <c r="Y10" i="15"/>
  <c r="Y9" i="15"/>
  <c r="Y7" i="15"/>
</calcChain>
</file>

<file path=xl/sharedStrings.xml><?xml version="1.0" encoding="utf-8"?>
<sst xmlns="http://schemas.openxmlformats.org/spreadsheetml/2006/main" count="3170" uniqueCount="889">
  <si>
    <t>issue id</t>
    <phoneticPr fontId="1" type="noConversion"/>
  </si>
  <si>
    <t>Pull request</t>
    <phoneticPr fontId="1" type="noConversion"/>
  </si>
  <si>
    <t>[Dynamo Hackathon] Add support for hasattr on TorchVariable #103177</t>
    <phoneticPr fontId="1" type="noConversion"/>
  </si>
  <si>
    <t>torch/_dynamo/variables/torch.py</t>
  </si>
  <si>
    <t>Error message for allow_in_graph decorator and arbitrary function combo #135972</t>
    <phoneticPr fontId="1" type="noConversion"/>
  </si>
  <si>
    <t>torch/_dynamo/variables/functions.py</t>
    <phoneticPr fontId="1" type="noConversion"/>
  </si>
  <si>
    <t>None</t>
    <phoneticPr fontId="1" type="noConversion"/>
  </si>
  <si>
    <t>Skip frame if torch dispatch mode enabled #131828</t>
    <phoneticPr fontId="1" type="noConversion"/>
  </si>
  <si>
    <t>torch/_dynamo/convert_frame.py
torch/utils/_python_dispatch.py</t>
    <phoneticPr fontId="1" type="noConversion"/>
  </si>
  <si>
    <t>[dynamo] guard global autocast state #143592</t>
    <phoneticPr fontId="1" type="noConversion"/>
  </si>
  <si>
    <t>torch/csrc/dynamo/guards.cpp</t>
    <phoneticPr fontId="1" type="noConversion"/>
  </si>
  <si>
    <t>inconsistency</t>
    <phoneticPr fontId="1" type="noConversion"/>
  </si>
  <si>
    <t>[dynamo] Retire CompileProfiler #135133</t>
    <phoneticPr fontId="1" type="noConversion"/>
  </si>
  <si>
    <t>torch/_dynamo/utils.py</t>
    <phoneticPr fontId="1" type="noConversion"/>
  </si>
  <si>
    <t>Relax constraints for creating a GenericContextWrappingVariable #129091</t>
    <phoneticPr fontId="1" type="noConversion"/>
  </si>
  <si>
    <t>torch/_dynamo/variables/ctx_manager.py
torch/_dynamo/variables/user_defined.py</t>
    <phoneticPr fontId="1" type="noConversion"/>
  </si>
  <si>
    <t>Dynamo doesn't support != when the compared objects have custom __eq__ #142055</t>
    <phoneticPr fontId="1" type="noConversion"/>
  </si>
  <si>
    <t>Add python type for list iterators #130511</t>
    <phoneticPr fontId="1" type="noConversion"/>
  </si>
  <si>
    <t>torch/_dynamo/variables/lists.py</t>
    <phoneticPr fontId="1" type="noConversion"/>
  </si>
  <si>
    <t>[dynamo] handle tensor subclass with non-classmethod __torch_function__ #151061</t>
    <phoneticPr fontId="1" type="noConversion"/>
  </si>
  <si>
    <t>torch/_dynamo/variables/torch_function.py</t>
    <phoneticPr fontId="1" type="noConversion"/>
  </si>
  <si>
    <t>Remove potentially unnecessary decomps #136641</t>
    <phoneticPr fontId="1" type="noConversion"/>
  </si>
  <si>
    <t>Allow cross-device copies for cpu scalars in refs #135140</t>
    <phoneticPr fontId="1" type="noConversion"/>
  </si>
  <si>
    <t>torch/_prims_common/wrappers.py</t>
    <phoneticPr fontId="1" type="noConversion"/>
  </si>
  <si>
    <t>[dynamo] Graph break on random_ op #130222</t>
    <phoneticPr fontId="1" type="noConversion"/>
  </si>
  <si>
    <t>torch/_dynamo/symbolic_convert.py</t>
    <phoneticPr fontId="1" type="noConversion"/>
  </si>
  <si>
    <t>[dynamo][aot autograd] Silently disable default saved tensor hooks during tracing #123196</t>
    <phoneticPr fontId="1" type="noConversion"/>
  </si>
  <si>
    <t>[dynamo] add torch.compiler.set_stance #137504</t>
    <phoneticPr fontId="1" type="noConversion"/>
  </si>
  <si>
    <t>torch/_dynamo/decorators.py
torch/_dynamo/eval_frame.py</t>
    <phoneticPr fontId="1" type="noConversion"/>
  </si>
  <si>
    <t>[Dynamo] Handle extracted unbound tensor methods #137227</t>
    <phoneticPr fontId="1" type="noConversion"/>
  </si>
  <si>
    <t>torch/_dynamo/variables/torch.py</t>
    <phoneticPr fontId="1" type="noConversion"/>
  </si>
  <si>
    <t>[dynamo] Properly prune dead cell local variables #136891</t>
    <phoneticPr fontId="1" type="noConversion"/>
  </si>
  <si>
    <t>Fix side effect pruning #128028</t>
    <phoneticPr fontId="1" type="noConversion"/>
  </si>
  <si>
    <t>torch/_dynamo/side_effects.py</t>
    <phoneticPr fontId="1" type="noConversion"/>
  </si>
  <si>
    <t>[dynamo] Turn on inline_inbuilt_nn_modules #131275</t>
    <phoneticPr fontId="1" type="noConversion"/>
  </si>
  <si>
    <t>[Dynamo] Support torch.cuda.device ctx manager #133385</t>
    <phoneticPr fontId="1" type="noConversion"/>
  </si>
  <si>
    <t>[dynamo] Support dict unpack of MutableMapping objects #131961</t>
    <phoneticPr fontId="1" type="noConversion"/>
  </si>
  <si>
    <t>[dynamo] update call map to allow multiple input parameters #130748</t>
    <phoneticPr fontId="1" type="noConversion"/>
  </si>
  <si>
    <t>torch/_dynamo/variables/builtin.py</t>
    <phoneticPr fontId="1" type="noConversion"/>
  </si>
  <si>
    <t>[dynamo] handle hashable exceptions in trace_rules lookup #128078</t>
    <phoneticPr fontId="1" type="noConversion"/>
  </si>
  <si>
    <t>torch/_dynamo/trace_rules.py</t>
    <phoneticPr fontId="1" type="noConversion"/>
  </si>
  <si>
    <t>Stop immediately specializing common constants 0/1 for plain int #128327</t>
    <phoneticPr fontId="1" type="noConversion"/>
  </si>
  <si>
    <t>torch/_dynamo/variables/builder.py</t>
    <phoneticPr fontId="1" type="noConversion"/>
  </si>
  <si>
    <t>Actually support LOAD_BUILD_CLASS #151251
[dynamo] add error message for unsupported LOAD_BUILD_CLASS #150323</t>
    <phoneticPr fontId="1" type="noConversion"/>
  </si>
  <si>
    <t>Implement filter in dynamo #131674</t>
    <phoneticPr fontId="1" type="noConversion"/>
  </si>
  <si>
    <t>[dynamo] recursively skip frames when Dynamo cache limit is hit #135144</t>
    <phoneticPr fontId="1" type="noConversion"/>
  </si>
  <si>
    <t>torch/_dynamo/convert_frame.py
torch/csrc/dynamo/eval_frame.c
torch/csrc/dynamo/extra_state.cpp</t>
    <phoneticPr fontId="1" type="noConversion"/>
  </si>
  <si>
    <t>[dynamo] Always trace into tensor subclass __torch_function__ #149792</t>
    <phoneticPr fontId="1" type="noConversion"/>
  </si>
  <si>
    <t xml:space="preserve">torch/_dynamo/variables/builder.py
</t>
    <phoneticPr fontId="1" type="noConversion"/>
  </si>
  <si>
    <t>[dynamo][inline_inbuilt_nn_modules] Skip test_dpp_graphs for now #132053</t>
    <phoneticPr fontId="1" type="noConversion"/>
  </si>
  <si>
    <t>[Bugfix] Fix compile error with torch.Tensor.unsqueeze_ and inplace views called from Tensor Class #150573</t>
    <phoneticPr fontId="1" type="noConversion"/>
  </si>
  <si>
    <t>Support hasattr on tensors #130794</t>
    <phoneticPr fontId="1" type="noConversion"/>
  </si>
  <si>
    <t>[dynamo] Restrict support for out= variants of torch operators #140202</t>
    <phoneticPr fontId="1" type="noConversion"/>
  </si>
  <si>
    <t>Support built-in id function for TensorVariable on parameters #130100</t>
    <phoneticPr fontId="1" type="noConversion"/>
  </si>
  <si>
    <t>torch/_dynamo/variables/builtin.py
torch/_dynamo/variables/tensor.py</t>
    <phoneticPr fontId="1" type="noConversion"/>
  </si>
  <si>
    <t>[Dynamo] Fix - str handler for UserDefinedObjectVariable #130506</t>
    <phoneticPr fontId="1" type="noConversion"/>
  </si>
  <si>
    <t>dynamo add support for defaultdict(set) #130745</t>
    <phoneticPr fontId="1" type="noConversion"/>
  </si>
  <si>
    <t>torch/_dynamo/utils.py
torch/_dynamo/variables/dicts.py</t>
    <phoneticPr fontId="1" type="noConversion"/>
  </si>
  <si>
    <t>support intersection by polyfill #130672</t>
    <phoneticPr fontId="1" type="noConversion"/>
  </si>
  <si>
    <t>torch/_dynamo/polyfill.py
torch/_dynamo/variables/dicts.py</t>
    <phoneticPr fontId="1" type="noConversion"/>
  </si>
  <si>
    <t>Add support for contextmanager in Dynamo #136033</t>
    <phoneticPr fontId="1" type="noConversion"/>
  </si>
  <si>
    <t>torch/_dynamo/symbolic_convert.py
torch/_dynamo/variables/functions.py
torch/_dynamo/variables/user_defined.py</t>
    <phoneticPr fontId="1" type="noConversion"/>
  </si>
  <si>
    <t>Support torch.cuda.*Tensor in Dynamo #156107</t>
    <phoneticPr fontId="1" type="noConversion"/>
  </si>
  <si>
    <t>torch/_dynamo/variables/user_defined.py</t>
    <phoneticPr fontId="1" type="noConversion"/>
  </si>
  <si>
    <t>[dynamo] limit number of compiles per frame #130891</t>
    <phoneticPr fontId="1" type="noConversion"/>
  </si>
  <si>
    <t>torch/_dynamo/cache_size.py</t>
    <phoneticPr fontId="1" type="noConversion"/>
  </si>
  <si>
    <t>[inductor] proxy_tensor.py throws SyntaxError when using .random_ #151432</t>
    <phoneticPr fontId="1" type="noConversion"/>
  </si>
  <si>
    <t>[dynamo] Use __eq__ for backend match #135039</t>
    <phoneticPr fontId="1" type="noConversion"/>
  </si>
  <si>
    <t>torch/csrc/dynamo/cache_entry.cpp
torch/csrc/dynamo/extra_state.cpp</t>
    <phoneticPr fontId="1" type="noConversion"/>
  </si>
  <si>
    <t>[compiled autograd][dynamo] improve lifted autograd.Function.backward handling and fallback to pseudo-eager #125661</t>
    <phoneticPr fontId="1" type="noConversion"/>
  </si>
  <si>
    <t>torch/_dynamo/external_utils.py
torch/_dynamo/output_graph.py
torch/_dynamo/variables/builder.py
torch/_dynamo/variables/misc.py</t>
    <phoneticPr fontId="1" type="noConversion"/>
  </si>
  <si>
    <t>register all entry_point backends on first attempt #132546</t>
    <phoneticPr fontId="1" type="noConversion"/>
  </si>
  <si>
    <t>torch/_dynamo/backends/registry.py</t>
    <phoneticPr fontId="1" type="noConversion"/>
  </si>
  <si>
    <t>Fix inlining module-scoped store global #132224</t>
    <phoneticPr fontId="1" type="noConversion"/>
  </si>
  <si>
    <t>Bucketize fix to include number and tensor inputs #133652</t>
    <phoneticPr fontId="1" type="noConversion"/>
  </si>
  <si>
    <t>torch/_refs/__init__.py</t>
    <phoneticPr fontId="1" type="noConversion"/>
  </si>
  <si>
    <t>Support hasattr tracing for more PythonModuleVariable #132731</t>
    <phoneticPr fontId="1" type="noConversion"/>
  </si>
  <si>
    <t>torch/_dynamo/variables/misc.py</t>
    <phoneticPr fontId="1" type="noConversion"/>
  </si>
  <si>
    <t>[dynamo][exception] Support raise exception from None #134028</t>
    <phoneticPr fontId="1" type="noConversion"/>
  </si>
  <si>
    <t>Add hasattr for tensor variable #131008</t>
    <phoneticPr fontId="1" type="noConversion"/>
  </si>
  <si>
    <t>torch/_dynamo/variables/tensor.py</t>
    <phoneticPr fontId="1" type="noConversion"/>
  </si>
  <si>
    <t>[dynamo][user_defined][stable-diffusion] Raise ObservedAttributeError on UserDefinedObject var_getattr #132806</t>
    <phoneticPr fontId="1" type="noConversion"/>
  </si>
  <si>
    <t>torch/_dynamo/exc.py
torch/_dynamo/symbolic_convert.py
torch/_dynamo/variables/user_defined.py</t>
    <phoneticPr fontId="1" type="noConversion"/>
  </si>
  <si>
    <t>[inductor] raise unsupport msg in capture_pre_autograd_graph on Windows #132841</t>
    <phoneticPr fontId="1" type="noConversion"/>
  </si>
  <si>
    <t>torch/_export/__init__.py</t>
    <phoneticPr fontId="1" type="noConversion"/>
  </si>
  <si>
    <t>torch.compile x autograd.Function: Make the backward strict mode less srict #111423</t>
    <phoneticPr fontId="1" type="noConversion"/>
  </si>
  <si>
    <t>[dynamo] Support TypedDict #138359</t>
    <phoneticPr fontId="1" type="noConversion"/>
  </si>
  <si>
    <t>[dynamo][guards][logs] Generate code_parts for debugging #134181</t>
    <phoneticPr fontId="1" type="noConversion"/>
  </si>
  <si>
    <t>torch/_dynamo/guards.py</t>
    <phoneticPr fontId="1" type="noConversion"/>
  </si>
  <si>
    <t>[dynamo] Support remove method of set #132943</t>
    <phoneticPr fontId="1" type="noConversion"/>
  </si>
  <si>
    <t>torch/_dynamo/variables/dicts.py</t>
    <phoneticPr fontId="1" type="noConversion"/>
  </si>
  <si>
    <t>[dynamo] unpack sequence lazily for list extend/deque extendleft #150965</t>
    <phoneticPr fontId="1" type="noConversion"/>
  </si>
  <si>
    <t>torch/_dynamo/variables/base.py
torch/_dynamo/variables/functions.py
torch/_dynamo/variables/iter.py
torch/_dynamo/variables/lists.py</t>
    <phoneticPr fontId="1" type="noConversion"/>
  </si>
  <si>
    <t>[Dynamo] Make torch.Size can be reconstructed by LOAD_CONST #133342</t>
    <phoneticPr fontId="1" type="noConversion"/>
  </si>
  <si>
    <t>[dynamo] Support namedtuple subclass #153982</t>
    <phoneticPr fontId="1" type="noConversion"/>
  </si>
  <si>
    <t>Support __class__ attr for tuple and list variables #134099</t>
    <phoneticPr fontId="1" type="noConversion"/>
  </si>
  <si>
    <t>[dynamo] Fix support for classmethod(property(...)) #134968</t>
    <phoneticPr fontId="1" type="noConversion"/>
  </si>
  <si>
    <t>torch/_dynamo/variables/constant.py
torch/_dynamo/variables/user_defined.py</t>
    <phoneticPr fontId="1" type="noConversion"/>
  </si>
  <si>
    <t>[dynamo] support torch.nn.attention.sdpa_kernel context manager #135404</t>
    <phoneticPr fontId="1" type="noConversion"/>
  </si>
  <si>
    <t>torch/_dynamo/variables/ctx_manager.py
torch/_dynamo/variables/torch.py
torch/nn/attention/__init__.py</t>
    <phoneticPr fontId="1" type="noConversion"/>
  </si>
  <si>
    <t>[dynamo] Simplify handling of functools.wraps #142000</t>
    <phoneticPr fontId="1" type="noConversion"/>
  </si>
  <si>
    <t>[Dynamo][autograd.Function] Trace fwd graph under no_grad mode #134872</t>
    <phoneticPr fontId="1" type="noConversion"/>
  </si>
  <si>
    <t>torch/_dynamo/variables/higher_order_ops.py</t>
    <phoneticPr fontId="1" type="noConversion"/>
  </si>
  <si>
    <t>[Dynamo] allow dynamic callables on tensor variables #137940</t>
    <phoneticPr fontId="1" type="noConversion"/>
  </si>
  <si>
    <t>torch/_dynamo/variables/misc.py
torch/_dynamo/variables/tensor.py</t>
    <phoneticPr fontId="1" type="noConversion"/>
  </si>
  <si>
    <t>[Dynamo] Fix Huggingface PretrainedConfig get non const attr #135413</t>
    <phoneticPr fontId="1" type="noConversion"/>
  </si>
  <si>
    <t>[dynamo] Check nn modules parameters are not overwritten before taking tracing shortcut #137824</t>
    <phoneticPr fontId="1" type="noConversion"/>
  </si>
  <si>
    <t>[dynamo] Fix error when inlining certain nested closure returned by another function #137510</t>
    <phoneticPr fontId="1" type="noConversion"/>
  </si>
  <si>
    <t>torch/_dynamo/symbolic_convert.py
torch/_dynamo/variables/functions.py</t>
    <phoneticPr fontId="1" type="noConversion"/>
  </si>
  <si>
    <t>[torch.compile] torch.vmap supports dynamic shapes + enable flex attention create_block_mask dynamic shapes #137163</t>
    <phoneticPr fontId="1" type="noConversion"/>
  </si>
  <si>
    <t>torch/_dynamo/variables/ctx_manager.py
torch/csrc/functorch/init.cpp</t>
    <phoneticPr fontId="1" type="noConversion"/>
  </si>
  <si>
    <t>[dynamo] Remove cell unboxing/restart optimization #140149</t>
    <phoneticPr fontId="1" type="noConversion"/>
  </si>
  <si>
    <t>torch/_dynamo/side_effects.py
torch/_dynamo/symbolic_convert.py
torch/_dynamo/variables/functions.py
torch/_dynamo/variables/misc.py</t>
    <phoneticPr fontId="1" type="noConversion"/>
  </si>
  <si>
    <t>[dynamo][nn_module] Use method.__self__ to find source for patched methods #151164</t>
    <phoneticPr fontId="1" type="noConversion"/>
  </si>
  <si>
    <t>fix trace nn.parameters() #138149</t>
    <phoneticPr fontId="1" type="noConversion"/>
  </si>
  <si>
    <t>handle more devices in method_type method of TensorVariable #138078</t>
    <phoneticPr fontId="1" type="noConversion"/>
  </si>
  <si>
    <t>[dynamo] Accurately identify mutated cells captured by multiple functions #138632</t>
    <phoneticPr fontId="1" type="noConversion"/>
  </si>
  <si>
    <t>[dynamo] Make OptimizedModule more robust in attribute reads and writes #153637</t>
    <phoneticPr fontId="1" type="noConversion"/>
  </si>
  <si>
    <t>torch/_dynamo/eval_frame.py</t>
    <phoneticPr fontId="1" type="noConversion"/>
  </si>
  <si>
    <t>[dynamo] mirror training flag in OptimizedModule #131546</t>
    <phoneticPr fontId="1" type="noConversion"/>
  </si>
  <si>
    <t>[dynamo] Support omegaconf DictConfig #138378</t>
    <phoneticPr fontId="1" type="noConversion"/>
  </si>
  <si>
    <t>torch/_dynamo/trace_rules.py
torch/_dynamo/variables/misc.py
torch/_dynamo/variables/user_defined.py</t>
    <phoneticPr fontId="1" type="noConversion"/>
  </si>
  <si>
    <t>[dynamo] Reconstruct defaultdict properly #154931</t>
    <phoneticPr fontId="1" type="noConversion"/>
  </si>
  <si>
    <t>Allow Lazy Module to be modelled as UnspecializedNNModuleVariable #138639</t>
    <phoneticPr fontId="1" type="noConversion"/>
  </si>
  <si>
    <t>torch/_dynamo/mutation_guard.py</t>
    <phoneticPr fontId="1" type="noConversion"/>
  </si>
  <si>
    <t>dynamo: guard on FSDP module parameters #138819</t>
    <phoneticPr fontId="1" type="noConversion"/>
  </si>
  <si>
    <t>torch/_dynamo/guards.py
torch/_guards.py</t>
    <phoneticPr fontId="1" type="noConversion"/>
  </si>
  <si>
    <t>[Bugfix] Add handling for buffer overrides #149882</t>
    <phoneticPr fontId="1" type="noConversion"/>
  </si>
  <si>
    <t>[Dynamo] Fix graph break when tensor.split() is called within a device context manager #139270</t>
    <phoneticPr fontId="1" type="noConversion"/>
  </si>
  <si>
    <t>[dynamo] Graph break fixes while tracing inspect module #151168</t>
    <phoneticPr fontId="1" type="noConversion"/>
  </si>
  <si>
    <t>torch/_dynamo/variables/base.py
torch/_dynamo/variables/builtin.py
torch/_dynamo/variables/functions.py</t>
    <phoneticPr fontId="1" type="noConversion"/>
  </si>
  <si>
    <t>Fix non-dense inductor effn attn bias #141905</t>
    <phoneticPr fontId="1" type="noConversion"/>
  </si>
  <si>
    <t>[dynamo][user-defined] Walk __mro__ to get the member descriptor source #140300</t>
    <phoneticPr fontId="1" type="noConversion"/>
  </si>
  <si>
    <t>Allow disabling int specialization on nn.Modules #142829</t>
    <phoneticPr fontId="1" type="noConversion"/>
  </si>
  <si>
    <t>summary</t>
  </si>
  <si>
    <t>symptom</t>
    <phoneticPr fontId="1" type="noConversion"/>
  </si>
  <si>
    <t>crash</t>
    <phoneticPr fontId="1" type="noConversion"/>
  </si>
  <si>
    <t>timeout</t>
    <phoneticPr fontId="1" type="noConversion"/>
  </si>
  <si>
    <t>membership test on user-defined container</t>
    <phoneticPr fontId="1" type="noConversion"/>
  </si>
  <si>
    <t>wrapping a method with a function decorator</t>
    <phoneticPr fontId="1" type="noConversion"/>
  </si>
  <si>
    <t>Bug Pattern</t>
    <phoneticPr fontId="1" type="noConversion"/>
  </si>
  <si>
    <t>[Dynamo] Implement sourceless named tuple support #151266</t>
    <phoneticPr fontId="1" type="noConversion"/>
  </si>
  <si>
    <t>[Dynamo] Add register_hook as in-graph tensor method #142820</t>
    <phoneticPr fontId="1" type="noConversion"/>
  </si>
  <si>
    <t>torch/_dynamo/trace_rules.py
torch/_dynamo/variables/torch.py</t>
    <phoneticPr fontId="1" type="noConversion"/>
  </si>
  <si>
    <t>support input mutations on tangents in compile #141131</t>
    <phoneticPr fontId="1" type="noConversion"/>
  </si>
  <si>
    <t>torch/_functorch/_aot_autograd/traced_function_transforms.py</t>
    <phoneticPr fontId="1" type="noConversion"/>
  </si>
  <si>
    <t>[dynamo] Support multiple inheritance for custom dict construction #142416</t>
    <phoneticPr fontId="1" type="noConversion"/>
  </si>
  <si>
    <t>torch/_dynamo/variables/builtin.py
torch/_dynamo/variables/dicts.py
torch/_dynamo/variables/nn_module.py</t>
    <phoneticPr fontId="1" type="noConversion"/>
  </si>
  <si>
    <t>Fix torch.isin decomposition for scalar inputs #153216</t>
    <phoneticPr fontId="1" type="noConversion"/>
  </si>
  <si>
    <t>torch/_decomp/decompositions.py</t>
    <phoneticPr fontId="1" type="noConversion"/>
  </si>
  <si>
    <t>[Dynamo] Add missing tensor builtins to allowed functions #142841</t>
    <phoneticPr fontId="1" type="noConversion"/>
  </si>
  <si>
    <t>[dynamo] Fix and simplify hanlding of Set.update method #141286</t>
    <phoneticPr fontId="1" type="noConversion"/>
  </si>
  <si>
    <t>torch/_dynamo/polyfills/__init__.py
torch/_dynamo/variables/dicts.py</t>
    <phoneticPr fontId="1" type="noConversion"/>
  </si>
  <si>
    <t>Allow attribute mutation for MutableMappingVariable #141376</t>
    <phoneticPr fontId="1" type="noConversion"/>
  </si>
  <si>
    <t>[dynamo] Trace through dataclasses by removing it from BUILTIN_SKIPLIST #141294</t>
    <phoneticPr fontId="1" type="noConversion"/>
  </si>
  <si>
    <t>[Dynamo][autograd.Function] Use fake tensor prop to infer fwd output #136184</t>
    <phoneticPr fontId="1" type="noConversion"/>
  </si>
  <si>
    <t>Don't 1 specialize if stride is contiguous #143365</t>
    <phoneticPr fontId="1" type="noConversion"/>
  </si>
  <si>
    <t>torch/_dynamo/variables/builder.py
torch/fx/experimental/symbolic_shapes.py</t>
    <phoneticPr fontId="1" type="noConversion"/>
  </si>
  <si>
    <t>[dynamo] Properly handle != under user-defined __eq__ #142078</t>
    <phoneticPr fontId="1" type="noConversion"/>
  </si>
  <si>
    <t>torch/_dynamo/polyfills/__init__.py
torch/_dynamo/variables/user_defined.py</t>
    <phoneticPr fontId="1" type="noConversion"/>
  </si>
  <si>
    <t>Prevent users from seeing hardcoded print stmt when hypothesis is not installed #142398</t>
    <phoneticPr fontId="1" type="noConversion"/>
  </si>
  <si>
    <t>[dynamo] Properly model root frame globals during inlining #143447</t>
    <phoneticPr fontId="1" type="noConversion"/>
  </si>
  <si>
    <t>[dynamo] Avoid graph break on updates to obj.__dict__ #144419</t>
    <phoneticPr fontId="1" type="noConversion"/>
  </si>
  <si>
    <t>Fix PythonMod printing #144078</t>
    <phoneticPr fontId="1" type="noConversion"/>
  </si>
  <si>
    <t>torch/utils/_sympy/functions.py</t>
    <phoneticPr fontId="1" type="noConversion"/>
  </si>
  <si>
    <t>Fix Throughputbenchmark issue #144669</t>
    <phoneticPr fontId="1" type="noConversion"/>
  </si>
  <si>
    <t>torch/csrc/dynamo/guards.cpp
torch/csrc/utils/throughput_benchmark-inl.h</t>
    <phoneticPr fontId="1" type="noConversion"/>
  </si>
  <si>
    <t>[Dynamo] Allow format() to handle int #144956</t>
    <phoneticPr fontId="1" type="noConversion"/>
  </si>
  <si>
    <t>Let tensor_a.new_tensor() be on tensor_a.device by default #144958</t>
    <phoneticPr fontId="1" type="noConversion"/>
  </si>
  <si>
    <t>torch/csrc/utils/tensor_new.cpp</t>
    <phoneticPr fontId="1" type="noConversion"/>
  </si>
  <si>
    <t>[dynamo] Support equality comparison between Tensor and None #138289</t>
    <phoneticPr fontId="1" type="noConversion"/>
  </si>
  <si>
    <t>[dynamo] Properly branch on an unspecialized NN module #145786</t>
    <phoneticPr fontId="1" type="noConversion"/>
  </si>
  <si>
    <t>[dynamo][mappingproxy][inspect] Support existing types.MappingProxyType #147217</t>
    <phoneticPr fontId="1" type="noConversion"/>
  </si>
  <si>
    <t>torch/_dynamo/guards.py
torch/_dynamo/side_effects.py
torch/_dynamo/variables/builder.py
torch/_dynamo/variables/builtin.py
torch/_dynamo/variables/dicts.py
torch/csrc/dynamo/guards.cpp</t>
    <phoneticPr fontId="1" type="noConversion"/>
  </si>
  <si>
    <t>Correctly propagate exception to parent tx #146502</t>
    <phoneticPr fontId="1" type="noConversion"/>
  </si>
  <si>
    <t>[dynamo] Account for function id reuse in relevant Dynamo decorators #148385</t>
    <phoneticPr fontId="1" type="noConversion"/>
  </si>
  <si>
    <t>torch/_dynamo/decorators.py</t>
    <phoneticPr fontId="1" type="noConversion"/>
  </si>
  <si>
    <t>[Dynamo] Fix AssertionError when dynamo traces torch.functional.xxx() functions #148075</t>
    <phoneticPr fontId="1" type="noConversion"/>
  </si>
  <si>
    <t>fix dynamic float when dynamic=True #149564</t>
    <phoneticPr fontId="1" type="noConversion"/>
  </si>
  <si>
    <t>Add is_batchedtensor to dynamo builder #149541</t>
    <phoneticPr fontId="1" type="noConversion"/>
  </si>
  <si>
    <t>[DYNAMO] [BUG FIX] correct casting to boolean for TORCH_COMPILE_DISABLE #149852</t>
    <phoneticPr fontId="1" type="noConversion"/>
  </si>
  <si>
    <t>torch/_dynamo/config.py</t>
    <phoneticPr fontId="1" type="noConversion"/>
  </si>
  <si>
    <t>[Dynamo] Fix dict.items() return type #150112</t>
    <phoneticPr fontId="1" type="noConversion"/>
  </si>
  <si>
    <t>[dynamic shapes] be less aggressive with runtime assert CSE for bounds #151590</t>
    <phoneticPr fontId="1" type="noConversion"/>
  </si>
  <si>
    <t>torch/_export/serde/serialize.py
torch/fx/passes/runtime_assert.py</t>
    <phoneticPr fontId="1" type="noConversion"/>
  </si>
  <si>
    <t>[dynamo] Support delattr on result of torch.compile(module) #152741</t>
    <phoneticPr fontId="1" type="noConversion"/>
  </si>
  <si>
    <t>[torch.compile] handle a custom __delattr__ method correctly #150899</t>
    <phoneticPr fontId="1" type="noConversion"/>
  </si>
  <si>
    <t>torch/_dynamo/variables/builtin.py
torch/_dynamo/variables/tensor.py
torch/_dynamo/variables/user_defined.py</t>
    <phoneticPr fontId="1" type="noConversion"/>
  </si>
  <si>
    <t>[dynamo][super variable] Fix bug to use correct source #151154</t>
    <phoneticPr fontId="1" type="noConversion"/>
  </si>
  <si>
    <t>torch/_dynamo/guards.py
torch/_dynamo/source.py
torch/_dynamo/variables/misc.py
torch/csrc/dynamo/guards.cpp</t>
    <phoneticPr fontId="1" type="noConversion"/>
  </si>
  <si>
    <t>[dynamo] Graph break on torch.Tensor.data assignment with mismatched dtype #156623</t>
    <phoneticPr fontId="1" type="noConversion"/>
  </si>
  <si>
    <t>torch/_dynamo/graph_break_registry.json
torch/_dynamo/variables/builtin.py</t>
    <phoneticPr fontId="1" type="noConversion"/>
  </si>
  <si>
    <t>[dynamic shapes] guard_or_false for cat, repeat #155290</t>
    <phoneticPr fontId="1" type="noConversion"/>
  </si>
  <si>
    <t>[Dynamo] Fix einops regression #153925</t>
    <phoneticPr fontId="1" type="noConversion"/>
  </si>
  <si>
    <t>[dynamo] raise observed exception for module attribute errors #153659</t>
    <phoneticPr fontId="1" type="noConversion"/>
  </si>
  <si>
    <t>[dynamo] Properly handle torch.script.jit under @staticmethod #153984</t>
    <phoneticPr fontId="1" type="noConversion"/>
  </si>
  <si>
    <t>[aotd] Support mutations in reordering_to_mimic_autograd_engine #155353
[aotd] Support mutations of the same input in fw and bw #155354</t>
    <phoneticPr fontId="1" type="noConversion"/>
  </si>
  <si>
    <t>[dynamo] fix segfault due to dangling CacheEntry backend pointer #156527</t>
    <phoneticPr fontId="1" type="noConversion"/>
  </si>
  <si>
    <t>torch/_dynamo/eval_frame.py
torch/csrc/dynamo/cache_entry.cpp
torch/csrc/dynamo/cache_entry.h
torch/csrc/dynamo/extra_state.cpp</t>
    <phoneticPr fontId="1" type="noConversion"/>
  </si>
  <si>
    <t>[dynamo] Add immutable pytree to trace_rules #156772</t>
    <phoneticPr fontId="1" type="noConversion"/>
  </si>
  <si>
    <t>[dynamo] Support tracing of functools.lru_cached method #156125</t>
    <phoneticPr fontId="1" type="noConversion"/>
  </si>
  <si>
    <t>torch/_dynamo/variables/__init__.py
torch/_dynamo/variables/functions.py
torch/_dynamo/variables/user_defined.py</t>
    <phoneticPr fontId="1" type="noConversion"/>
  </si>
  <si>
    <t>[dynamo] Fix issue with tensors passed as view() shapes #156928</t>
    <phoneticPr fontId="1" type="noConversion"/>
  </si>
  <si>
    <t>[dynamo] Improve error message for cond aliasing #156963</t>
    <phoneticPr fontId="1" type="noConversion"/>
  </si>
  <si>
    <t>Guards</t>
    <phoneticPr fontId="1" type="noConversion"/>
  </si>
  <si>
    <t>device-dependent branching and global state mutation</t>
    <phoneticPr fontId="1" type="noConversion"/>
  </si>
  <si>
    <t>Side-effect</t>
    <phoneticPr fontId="1" type="noConversion"/>
  </si>
  <si>
    <t>decorating nested function inside compiled function</t>
    <phoneticPr fontId="1" type="noConversion"/>
  </si>
  <si>
    <t>Pre-dispatch</t>
    <phoneticPr fontId="1" type="noConversion"/>
  </si>
  <si>
    <t>iterating a user-defined iterable module</t>
    <phoneticPr fontId="1" type="noConversion"/>
  </si>
  <si>
    <t>Bytecode execution</t>
    <phoneticPr fontId="1" type="noConversion"/>
  </si>
  <si>
    <t>decorating nested function via higher-order decorator</t>
    <phoneticPr fontId="1" type="noConversion"/>
  </si>
  <si>
    <t>context manager overriding operator dispatch semantics</t>
    <phoneticPr fontId="1" type="noConversion"/>
  </si>
  <si>
    <t>introspecting subclass list for a locally defined class</t>
    <phoneticPr fontId="1" type="noConversion"/>
  </si>
  <si>
    <t>Local dynamic subclass plus subclass introspection triggers global-name guards that can’t resolve the class, leading to a crash.</t>
    <phoneticPr fontId="1" type="noConversion"/>
  </si>
  <si>
    <t>subscript access with composite key</t>
    <phoneticPr fontId="1" type="noConversion"/>
  </si>
  <si>
    <t>splitting traced graph across context manager boundaries</t>
    <phoneticPr fontId="1" type="noConversion"/>
  </si>
  <si>
    <t>asserting non-Tensor property of tensor</t>
    <phoneticPr fontId="1" type="noConversion"/>
  </si>
  <si>
    <t>toggling ambient context manager around compiled calls</t>
    <phoneticPr fontId="1" type="noConversion"/>
  </si>
  <si>
    <t>Ambient context changes lack guards; constant-folded autocast state persists across runs, yielding dtype mismatches versus eager execution.</t>
    <phoneticPr fontId="1" type="noConversion"/>
  </si>
  <si>
    <t>checking attribute existence on user-defined object</t>
    <phoneticPr fontId="1" type="noConversion"/>
  </si>
  <si>
    <t>using non-fake-compatible operator during tracing</t>
    <phoneticPr fontId="1" type="noConversion"/>
  </si>
  <si>
    <t>with-statement on user-defined context manager</t>
    <phoneticPr fontId="1" type="noConversion"/>
  </si>
  <si>
    <t>calling synthesized constructor on decorated class instances</t>
    <phoneticPr fontId="1" type="noConversion"/>
  </si>
  <si>
    <t>stringifying function objects during introspection</t>
    <phoneticPr fontId="1" type="noConversion"/>
  </si>
  <si>
    <t>type check on generator-produced iterator</t>
    <phoneticPr fontId="1" type="noConversion"/>
  </si>
  <si>
    <t>isinstance check on closure variable</t>
    <phoneticPr fontId="1" type="noConversion"/>
  </si>
  <si>
    <t>context-managed global state mutation</t>
    <phoneticPr fontId="1" type="noConversion"/>
  </si>
  <si>
    <t>boolean conversion on symbolic numeric values</t>
    <phoneticPr fontId="1" type="noConversion"/>
  </si>
  <si>
    <t>boolean coercion of tensor inputs</t>
    <phoneticPr fontId="1" type="noConversion"/>
  </si>
  <si>
    <t>custom instance creation method in user-defined class</t>
    <phoneticPr fontId="1" type="noConversion"/>
  </si>
  <si>
    <t>Customized instance creation is mis-modeled during tracing, losing constructor-set attributes and yielding divergent behavior.</t>
    <phoneticPr fontId="1" type="noConversion"/>
  </si>
  <si>
    <t>Python scalar argument in in-place operation</t>
    <phoneticPr fontId="1" type="noConversion"/>
  </si>
  <si>
    <t>Tracing handles scalar-value promotion differently in FP16, altering arithmetic precision and producing results that diverge from eager.</t>
    <phoneticPr fontId="1" type="noConversion"/>
  </si>
  <si>
    <t>using symbolic value in hash-based cache key</t>
    <phoneticPr fontId="1" type="noConversion"/>
  </si>
  <si>
    <t>scalar arguments with an out-parameter</t>
    <phoneticPr fontId="1" type="noConversion"/>
  </si>
  <si>
    <t>kwargs expansion with reserved identifier names</t>
    <phoneticPr fontId="1" type="noConversion"/>
  </si>
  <si>
    <t>context manager mutating global state during tracing</t>
    <phoneticPr fontId="1" type="noConversion"/>
  </si>
  <si>
    <t>using tensor subclass with hidden state</t>
    <phoneticPr fontId="1" type="noConversion"/>
  </si>
  <si>
    <t>extracting scalar value before iterative state mutation</t>
    <phoneticPr fontId="1" type="noConversion"/>
  </si>
  <si>
    <t>Initial loss scalar is specialized; later optimizer updates are ignored, yielding equal initial and final values.</t>
    <phoneticPr fontId="1" type="noConversion"/>
  </si>
  <si>
    <t>decorator stacking with conflicting compilation directives</t>
    <phoneticPr fontId="1" type="noConversion"/>
  </si>
  <si>
    <t>invoking method returning non-tensor value</t>
    <phoneticPr fontId="1" type="noConversion"/>
  </si>
  <si>
    <t>indexing global dictionary during external library call</t>
    <phoneticPr fontId="1" type="noConversion"/>
  </si>
  <si>
    <t>Value tracking fails to drop dead intermediates, emitting a redundant kernel and unused buffer.</t>
    <phoneticPr fontId="1" type="noConversion"/>
  </si>
  <si>
    <t>mixed scalar-tensor arithmetic under higher-order transform</t>
    <phoneticPr fontId="1" type="noConversion"/>
  </si>
  <si>
    <t>using per-instance state within compiled method</t>
    <phoneticPr fontId="1" type="noConversion"/>
  </si>
  <si>
    <t>Instance attributes are constant-specialized with identity guards, forcing recompilation per object and preventing cache sharing across layers.</t>
    <phoneticPr fontId="1" type="noConversion"/>
  </si>
  <si>
    <t>temporarily replacing object attributes during method invocation</t>
    <phoneticPr fontId="1" type="noConversion"/>
  </si>
  <si>
    <t>constructing tensor subclass then performing in-place initialization</t>
    <phoneticPr fontId="1" type="noConversion"/>
  </si>
  <si>
    <t>entering user-defined context manager during compilation</t>
    <phoneticPr fontId="1" type="noConversion"/>
  </si>
  <si>
    <t>dynamic class construction from instance type</t>
    <phoneticPr fontId="1" type="noConversion"/>
  </si>
  <si>
    <t>expanding mapping into function call keywords</t>
    <phoneticPr fontId="1" type="noConversion"/>
  </si>
  <si>
    <t>calling a builtin iterator with multiple iterables</t>
    <phoneticPr fontId="1" type="noConversion"/>
  </si>
  <si>
    <t>constructor override with parent delegation</t>
    <phoneticPr fontId="1" type="noConversion"/>
  </si>
  <si>
    <t>context-driven dtype changes between calls</t>
    <phoneticPr fontId="1" type="noConversion"/>
  </si>
  <si>
    <t>Variable dtypes from precision contexts invalidate dtype guards, forcing repeated recompilations and hurting performance.</t>
    <phoneticPr fontId="1" type="noConversion"/>
  </si>
  <si>
    <t>mutating object attribute across successive calls</t>
    <phoneticPr fontId="1" type="noConversion"/>
  </si>
  <si>
    <t>Attribute mutation causes value-equality guards and overspecialization, forcing repeated recompilation instead of symbolic handling.</t>
    <phoneticPr fontId="1" type="noConversion"/>
  </si>
  <si>
    <t>nested class definition in function</t>
    <phoneticPr fontId="1" type="noConversion"/>
  </si>
  <si>
    <t>iterating with higher-order lazy iterator in loop</t>
    <phoneticPr fontId="1" type="noConversion"/>
  </si>
  <si>
    <t>nested function chain overspecializes across stack frames</t>
    <phoneticPr fontId="1" type="noConversion"/>
  </si>
  <si>
    <t>invoking magic method on a subclassed object</t>
    <phoneticPr fontId="1" type="noConversion"/>
  </si>
  <si>
    <t>mutating captured object attributes post-compilation</t>
    <phoneticPr fontId="1" type="noConversion"/>
  </si>
  <si>
    <t>using class object as function argument</t>
    <phoneticPr fontId="1" type="noConversion"/>
  </si>
  <si>
    <t>Dynamo cannot serialize type arguments during tensor subclass conversion, causing FX argument creation failure and compilation abort.</t>
    <phoneticPr fontId="1" type="noConversion"/>
  </si>
  <si>
    <t>in-place mutation of tensor rank/shape</t>
    <phoneticPr fontId="1" type="noConversion"/>
  </si>
  <si>
    <t>attribute presence check on tracked tensor object</t>
    <phoneticPr fontId="1" type="noConversion"/>
  </si>
  <si>
    <t>mutating a tensor via output argument with mismatched shape</t>
    <phoneticPr fontId="1" type="noConversion"/>
  </si>
  <si>
    <t>invoking compilation in a short-lived local scope</t>
    <phoneticPr fontId="1" type="noConversion"/>
  </si>
  <si>
    <t>Weak-referenced cache entries vanish after local scope ends, so cache introspection finds no entries.</t>
    <phoneticPr fontId="1" type="noConversion"/>
  </si>
  <si>
    <t>evaluating built-in identity in conditional</t>
    <phoneticPr fontId="1" type="noConversion"/>
  </si>
  <si>
    <t>invoking built-in conversion on user-defined object</t>
    <phoneticPr fontId="1" type="noConversion"/>
  </si>
  <si>
    <t>instantiating a dictionary subclass with implicit value factory</t>
    <phoneticPr fontId="1" type="noConversion"/>
  </si>
  <si>
    <t>calling unmodeled method on a built-in container</t>
    <phoneticPr fontId="1" type="noConversion"/>
  </si>
  <si>
    <t>decorator-based context manager in with-block</t>
    <phoneticPr fontId="1" type="noConversion"/>
  </si>
  <si>
    <t>invoking nested type via attribute lookup</t>
    <phoneticPr fontId="1" type="noConversion"/>
  </si>
  <si>
    <t>Calling a nested class constructor is unsupported in Dynamo’s bytecode model, causing fullgraph compilation to abort.</t>
    <phoneticPr fontId="1" type="noConversion"/>
  </si>
  <si>
    <t>creating and discarding object instance in loop</t>
    <phoneticPr fontId="1" type="noConversion"/>
  </si>
  <si>
    <t>Ephemeral objects invalidate guard-attached cache entries, triggering recompilation each call; inlining avoids object identity guards and stabilizes cache.</t>
    <phoneticPr fontId="1" type="noConversion"/>
  </si>
  <si>
    <t>extracting tensor dimensions into Python scalars</t>
    <phoneticPr fontId="1" type="noConversion"/>
  </si>
  <si>
    <t>converting graph value into a Python scalar</t>
    <phoneticPr fontId="1" type="noConversion"/>
  </si>
  <si>
    <t>using reserved identifier as keyword argument</t>
    <phoneticPr fontId="1" type="noConversion"/>
  </si>
  <si>
    <t>Tracing preserves reserved kwarg names, and FX codegen emits invalid Python, aborting compilation.</t>
    <phoneticPr fontId="1" type="noConversion"/>
  </si>
  <si>
    <t>changing compilation settings across successive invocations</t>
    <phoneticPr fontId="1" type="noConversion"/>
  </si>
  <si>
    <t>Cache key omits configuration; stale graph reused despite option changes, yielding behavior inconsistent with requested settings.</t>
    <phoneticPr fontId="1" type="noConversion"/>
  </si>
  <si>
    <t>Autocast state not preserved across a graph break in compiled autograd, producing an invalid dtype object and internal error.</t>
    <phoneticPr fontId="1" type="noConversion"/>
  </si>
  <si>
    <t>in-place mutation of input tensor</t>
    <phoneticPr fontId="1" type="noConversion"/>
  </si>
  <si>
    <t>Input mutations invalidate capture assumptions, disabling CUDA graph capture under compilation and increasing execution time.</t>
    <phoneticPr fontId="1" type="noConversion"/>
  </si>
  <si>
    <t>using lazy plugin discovery for backend listing</t>
    <phoneticPr fontId="1" type="noConversion"/>
  </si>
  <si>
    <t>passing nested function to higher-order call</t>
    <phoneticPr fontId="1" type="noConversion"/>
  </si>
  <si>
    <t>changing object metadata flag within effect-suppressing context</t>
    <phoneticPr fontId="1" type="noConversion"/>
  </si>
  <si>
    <t>Preemptive guards consider gradient flags; toggling them inside effect-suppressed scope needlessly invalidates the graph causing recompilation.</t>
    <phoneticPr fontId="1" type="noConversion"/>
  </si>
  <si>
    <t>mutating module-global state via imported function calls</t>
    <phoneticPr fontId="1" type="noConversion"/>
  </si>
  <si>
    <t>calling operator with Python scalar argument</t>
    <phoneticPr fontId="1" type="noConversion"/>
  </si>
  <si>
    <t>attribute existence check on non-modeled module object</t>
    <phoneticPr fontId="1" type="noConversion"/>
  </si>
  <si>
    <t>try/except around method call raising exception</t>
    <phoneticPr fontId="1" type="noConversion"/>
  </si>
  <si>
    <t>attribute introspection on tensor-like object inside differentiable path</t>
    <phoneticPr fontId="1" type="noConversion"/>
  </si>
  <si>
    <t>reassigning a container attribute via slice then mutating</t>
    <phoneticPr fontId="1" type="noConversion"/>
  </si>
  <si>
    <t>accessing nonexistent attribute inside exception handling</t>
    <phoneticPr fontId="1" type="noConversion"/>
  </si>
  <si>
    <t>mixing tensors and non-tensors in returned structure</t>
    <phoneticPr fontId="1" type="noConversion"/>
  </si>
  <si>
    <t>mismatched function signature and provided inputs</t>
    <phoneticPr fontId="1" type="noConversion"/>
  </si>
  <si>
    <t>attribute lookup on traced value in strict context</t>
    <phoneticPr fontId="1" type="noConversion"/>
  </si>
  <si>
    <t>instantiating a metaclass-defined mapping type</t>
    <phoneticPr fontId="1" type="noConversion"/>
  </si>
  <si>
    <t>capturing instance attribute in nested closure</t>
    <phoneticPr fontId="1" type="noConversion"/>
  </si>
  <si>
    <t>Nested closure over module fields triggers guards; alternate guard path lacks manager initialization, causing assertion during guard creation.</t>
    <phoneticPr fontId="1" type="noConversion"/>
  </si>
  <si>
    <t>mutating container with potential exception on missing key</t>
    <phoneticPr fontId="1" type="noConversion"/>
  </si>
  <si>
    <t>invoking mutator method on wrapper object</t>
    <phoneticPr fontId="1" type="noConversion"/>
  </si>
  <si>
    <t>mutating container during generator iteration</t>
    <phoneticPr fontId="1" type="noConversion"/>
  </si>
  <si>
    <t>Compiler misinterprets generator evaluation order, ignoring interleaved container state updates.</t>
    <phoneticPr fontId="1" type="noConversion"/>
  </si>
  <si>
    <t>library triggers hidden builtin hook</t>
    <phoneticPr fontId="1" type="noConversion"/>
  </si>
  <si>
    <t>built-in introspection for attribute presence</t>
    <phoneticPr fontId="1" type="noConversion"/>
  </si>
  <si>
    <t>mutating global map keyed by non-serializable value</t>
    <phoneticPr fontId="1" type="noConversion"/>
  </si>
  <si>
    <t>registering autograd callback in submodule</t>
    <phoneticPr fontId="1" type="noConversion"/>
  </si>
  <si>
    <t>higher-order transform wraps class static method call</t>
    <phoneticPr fontId="1" type="noConversion"/>
  </si>
  <si>
    <t>implicit default device for newly instantiated scalar tensor</t>
    <phoneticPr fontId="1" type="noConversion"/>
  </si>
  <si>
    <t>Implicit device defaults during state mutation cause device mismatch unmodeled by compilation, leading to differing device placement at runtime.</t>
    <phoneticPr fontId="1" type="noConversion"/>
  </si>
  <si>
    <t>overriding operator method on tuple-like subclass</t>
    <phoneticPr fontId="1" type="noConversion"/>
  </si>
  <si>
    <t>reflecting container type and constructing new instance</t>
    <phoneticPr fontId="1" type="noConversion"/>
  </si>
  <si>
    <t>accessing property-decorated attribute on a class</t>
    <phoneticPr fontId="1" type="noConversion"/>
  </si>
  <si>
    <t>branching on attribute presence of dynamic input</t>
    <phoneticPr fontId="1" type="noConversion"/>
  </si>
  <si>
    <t>using a custom context manager with a with-statement</t>
    <phoneticPr fontId="1" type="noConversion"/>
  </si>
  <si>
    <t>capturing closure variable in nested lambda</t>
    <phoneticPr fontId="1" type="noConversion"/>
  </si>
  <si>
    <t>in-place mutation inside custom gradient wrapper</t>
    <phoneticPr fontId="1" type="noConversion"/>
  </si>
  <si>
    <t>Forward inlined without no-grad context mis-models autograd state; out-variant observes requires-grad tensors and raises during compilation.</t>
    <phoneticPr fontId="1" type="noConversion"/>
  </si>
  <si>
    <t>attaching dynamic attribute to object and calling it</t>
    <phoneticPr fontId="1" type="noConversion"/>
  </si>
  <si>
    <t>calling with different instances of the same class</t>
    <phoneticPr fontId="1" type="noConversion"/>
  </si>
  <si>
    <t>Instance arguments trigger identity guards, blocking graph reuse and causing repeated compilation across equivalent modules.</t>
    <phoneticPr fontId="1" type="noConversion"/>
  </si>
  <si>
    <t>creating an unused class instance with constructor side-effects</t>
    <phoneticPr fontId="1" type="noConversion"/>
  </si>
  <si>
    <t>attribute access returns mapping value</t>
    <phoneticPr fontId="1" type="noConversion"/>
  </si>
  <si>
    <t>accessing descriptor-backed property on an instance</t>
    <phoneticPr fontId="1" type="noConversion"/>
  </si>
  <si>
    <t>attaching callbacks to nested class methods</t>
    <phoneticPr fontId="1" type="noConversion"/>
  </si>
  <si>
    <t>Callback-induced graph breaks make the compiler skip inner frames, forcing eager execution and preventing intended module graph capture.</t>
    <phoneticPr fontId="1" type="noConversion"/>
  </si>
  <si>
    <t>comparing attribute to enumeration in conditional</t>
    <phoneticPr fontId="1" type="noConversion"/>
  </si>
  <si>
    <t>Equality check against enum-valued attribute is unsupported, so Dynamo cannot model the branch predicate and aborts compilation.</t>
    <phoneticPr fontId="1" type="noConversion"/>
  </si>
  <si>
    <t>inlined subclass method under dynamic shape compilation</t>
    <phoneticPr fontId="1" type="noConversion"/>
  </si>
  <si>
    <t>Dynamic inlining produces unstable guard names, triggering guard failures and recompilation each run.</t>
    <phoneticPr fontId="1" type="noConversion"/>
  </si>
  <si>
    <t>invoking side-effectful library call inside compiled function</t>
    <phoneticPr fontId="1" type="noConversion"/>
  </si>
  <si>
    <t>Warning emission in compiled region is unsupported; builtin modeling fails causing graph break and compilation abort.</t>
    <phoneticPr fontId="1" type="noConversion"/>
  </si>
  <si>
    <t>mutating closure variable in callback</t>
    <phoneticPr fontId="1" type="noConversion"/>
  </si>
  <si>
    <t>subclassed container replaces module parameter mapping</t>
    <phoneticPr fontId="1" type="noConversion"/>
  </si>
  <si>
    <t>invoking a returned nested closure capturing outer variable</t>
    <phoneticPr fontId="1" type="noConversion"/>
  </si>
  <si>
    <t>vectorized mapping over input with varying batch dimension</t>
    <phoneticPr fontId="1" type="noConversion"/>
  </si>
  <si>
    <t>Constant guards on the mapped axis prevent dynamic shapes, forcing recompilation whenever the batch dimension size changes.</t>
    <phoneticPr fontId="1" type="noConversion"/>
  </si>
  <si>
    <t>returning closure that captures outer-scope variable</t>
    <phoneticPr fontId="1" type="noConversion"/>
  </si>
  <si>
    <t>assigning bound method from another instance</t>
    <phoneticPr fontId="1" type="noConversion"/>
  </si>
  <si>
    <t>replacing internal container with subclassed mapping type</t>
    <phoneticPr fontId="1" type="noConversion"/>
  </si>
  <si>
    <t>branching on device-specific type string</t>
    <phoneticPr fontId="1" type="noConversion"/>
  </si>
  <si>
    <t>multiple closures capture and mutate same nonlocal variable</t>
    <phoneticPr fontId="1" type="noConversion"/>
  </si>
  <si>
    <t>Wrapper attribute resolution assumes internal fields exist; pre-init attribute queries recurse endlessly, causing a crash.</t>
    <phoneticPr fontId="1" type="noConversion"/>
  </si>
  <si>
    <t>invoking state-changing method on a wrapper object</t>
    <phoneticPr fontId="1" type="noConversion"/>
  </si>
  <si>
    <t>Mode switch on compiled wrapper doesn't update internal training state due to missing side-effect modeling.</t>
    <phoneticPr fontId="1" type="noConversion"/>
  </si>
  <si>
    <t>custom attribute access in an object</t>
    <phoneticPr fontId="1" type="noConversion"/>
  </si>
  <si>
    <t>container of tensors passed to in-place operation</t>
    <phoneticPr fontId="1" type="noConversion"/>
  </si>
  <si>
    <t>deferred initialization changes object classification across traces</t>
    <phoneticPr fontId="1" type="noConversion"/>
  </si>
  <si>
    <t>capturing multiple parameters with differing shapes</t>
    <phoneticPr fontId="1" type="noConversion"/>
  </si>
  <si>
    <t>Shape-specialized graph assumes equal sizes across captured parameters; insufficient guards allow mismatched shapes, causing assertion failure.</t>
    <phoneticPr fontId="1" type="noConversion"/>
  </si>
  <si>
    <t>shadowing method name with instance attribute</t>
    <phoneticPr fontId="1" type="noConversion"/>
  </si>
  <si>
    <t>magic dispatch inside a context manager</t>
    <phoneticPr fontId="1" type="noConversion"/>
  </si>
  <si>
    <t>reusing compiled method across instances with varying parameter shapes</t>
    <phoneticPr fontId="1" type="noConversion"/>
  </si>
  <si>
    <t>Graph specialization to static parameter shapes fails when invoked on layers with mismatched shapes, triggering runtime assertion.</t>
    <phoneticPr fontId="1" type="noConversion"/>
  </si>
  <si>
    <t>binding non-constant object via partial application</t>
    <phoneticPr fontId="1" type="noConversion"/>
  </si>
  <si>
    <t>broadcasting view with zero-stride last dimension</t>
    <phoneticPr fontId="1" type="noConversion"/>
  </si>
  <si>
    <t>Broadcasted bias is non-contiguous; fused kernel requires contiguous last dim and crashes.</t>
    <phoneticPr fontId="1" type="noConversion"/>
  </si>
  <si>
    <t>reading inherited attribute missing from class dictionary</t>
    <phoneticPr fontId="1" type="noConversion"/>
  </si>
  <si>
    <t>Guard creation assumes attribute in subclass __dict__, failing on inherited lazy attributes and aborting compilation.</t>
    <phoneticPr fontId="1" type="noConversion"/>
  </si>
  <si>
    <t>reading mutable attribute during graph capture</t>
    <phoneticPr fontId="1" type="noConversion"/>
  </si>
  <si>
    <t>Attribute access on module is specialized as constant, missing guards, so post-compile mutations aren't reflected in compiled runs.</t>
    <phoneticPr fontId="1" type="noConversion"/>
  </si>
  <si>
    <t>calling native state mutation in compiled region</t>
    <phoneticPr fontId="1" type="noConversion"/>
  </si>
  <si>
    <t>A state-clearing native call isn’t modeled, so Dynamo inserts graph breaks to avoid incorrect global-state behavior.</t>
    <phoneticPr fontId="1" type="noConversion"/>
  </si>
  <si>
    <t>attribute access on tuple-record object</t>
    <phoneticPr fontId="1" type="noConversion"/>
  </si>
  <si>
    <t>Field access on a tuple-like record cannot be guarded, causing graph breaks during compilation.</t>
    <phoneticPr fontId="1" type="noConversion"/>
  </si>
  <si>
    <t>class attribute mutation within mode-dispatched method call</t>
    <phoneticPr fontId="1" type="noConversion"/>
  </si>
  <si>
    <t>in-place mutation of function argument inside callback</t>
    <phoneticPr fontId="1" type="noConversion"/>
  </si>
  <si>
    <t>class with multiple inheritance combining mapping and module</t>
    <phoneticPr fontId="1" type="noConversion"/>
  </si>
  <si>
    <t>using subclass of built-in container</t>
    <phoneticPr fontId="1" type="noConversion"/>
  </si>
  <si>
    <t>intercepting tensor methods through dynamic dispatch override</t>
    <phoneticPr fontId="1" type="noConversion"/>
  </si>
  <si>
    <t>mutating container using non-materialized iterator input</t>
    <phoneticPr fontId="1" type="noConversion"/>
  </si>
  <si>
    <t>attribute assignment on mutable mapping inside context manager</t>
    <phoneticPr fontId="1" type="noConversion"/>
  </si>
  <si>
    <t>using library predicate in control flow</t>
    <phoneticPr fontId="1" type="noConversion"/>
  </si>
  <si>
    <t>wrapping nested function with metadata-preserving decorator</t>
    <phoneticPr fontId="1" type="noConversion"/>
  </si>
  <si>
    <t>tracing callback on offloaded tensor state</t>
    <phoneticPr fontId="1" type="noConversion"/>
  </si>
  <si>
    <t>Mutation tracking around custom autograd boundaries misflags leaf updates, causing compiled mode to reject code eager permits.</t>
    <phoneticPr fontId="1" type="noConversion"/>
  </si>
  <si>
    <t>comparing attribute to enum constant</t>
    <phoneticPr fontId="1" type="noConversion"/>
  </si>
  <si>
    <t>Equality between dynamic attribute and enum is unsupported in Dynamo’s builtin modeling, causing compilation to abort.</t>
    <phoneticPr fontId="1" type="noConversion"/>
  </si>
  <si>
    <t>broadcasted arithmetic with unknown symbolic dimension</t>
    <phoneticPr fontId="1" type="noConversion"/>
  </si>
  <si>
    <t>Fullgraph stride-based comparisons require guards; unbacked symbolic shapes can’t be validated, causing a compile-time exception.</t>
    <phoneticPr fontId="1" type="noConversion"/>
  </si>
  <si>
    <t>inequality using overridden equality semantics</t>
    <phoneticPr fontId="1" type="noConversion"/>
  </si>
  <si>
    <t>using user-defined context manager</t>
    <phoneticPr fontId="1" type="noConversion"/>
  </si>
  <si>
    <t>mutating global in nested closure via cross-module call</t>
    <phoneticPr fontId="1" type="noConversion"/>
  </si>
  <si>
    <t>mutating object attribute dictionary via item assignment</t>
    <phoneticPr fontId="1" type="noConversion"/>
  </si>
  <si>
    <t>symbolic integer arithmetic in shape expressions</t>
    <phoneticPr fontId="1" type="noConversion"/>
  </si>
  <si>
    <t>Dynamic shape floor-division is mis-modeled, producing incorrect length expressions and mismatched guards.</t>
    <phoneticPr fontId="1" type="noConversion"/>
  </si>
  <si>
    <t>executing nested context alters global state observed by guards</t>
    <phoneticPr fontId="1" type="noConversion"/>
  </si>
  <si>
    <t>Benchmarking context mutates global casting state, violating Dynamo’s global-state guard and causing a RecompileError abort.</t>
    <phoneticPr fontId="1" type="noConversion"/>
  </si>
  <si>
    <t>calling two-argument builtin on primitive value</t>
    <phoneticPr fontId="1" type="noConversion"/>
  </si>
  <si>
    <t>implicit type coercion during graph capture</t>
    <phoneticPr fontId="1" type="noConversion"/>
  </si>
  <si>
    <t>inequality comparison with None in control flow</t>
    <phoneticPr fontId="1" type="noConversion"/>
  </si>
  <si>
    <t>using object truthiness as branch condition</t>
    <phoneticPr fontId="1" type="noConversion"/>
  </si>
  <si>
    <t>wrapping state-changing function with memoization</t>
    <phoneticPr fontId="1" type="noConversion"/>
  </si>
  <si>
    <t>Memoization cache is opaque to Dynamo; cache hits aren’t modeled, so compiled reexecutes and mutates global state incorrectly.</t>
    <phoneticPr fontId="1" type="noConversion"/>
  </si>
  <si>
    <t>attribute introspection on partially wrapped module</t>
    <phoneticPr fontId="1" type="noConversion"/>
  </si>
  <si>
    <t>Unsupported guard source for wrapper-local state during attribute checks causes TorchDynamo to crash.</t>
    <phoneticPr fontId="1" type="noConversion"/>
  </si>
  <si>
    <t>using immutable mapping view in argument binding</t>
    <phoneticPr fontId="1" type="noConversion"/>
  </si>
  <si>
    <t>ambient global hooks during graph-transformed recomputation</t>
    <phoneticPr fontId="1" type="noConversion"/>
  </si>
  <si>
    <t>Recomputation is jointly traced and partitioned, changing saved values and hook firing, diverging from eager hook semantics.</t>
    <phoneticPr fontId="1" type="noConversion"/>
  </si>
  <si>
    <t>graph break inside with statement</t>
    <phoneticPr fontId="1" type="noConversion"/>
  </si>
  <si>
    <t>deleting decorated object leads to identity reuse</t>
    <phoneticPr fontId="1" type="noConversion"/>
  </si>
  <si>
    <t>Identity-keyed registry persists across deletions; reused id marks new object incorrectly, altering in-graph classification and compiled graph behavior.</t>
    <phoneticPr fontId="1" type="noConversion"/>
  </si>
  <si>
    <t>compiling external function object</t>
    <phoneticPr fontId="1" type="noConversion"/>
  </si>
  <si>
    <t>declaring dynamic shape later constrained to constant</t>
    <phoneticPr fontId="1" type="noConversion"/>
  </si>
  <si>
    <t>Dynamic dimension annotation conflicts with operator shape inference, leading guard generation to raise constraint violation and abort compilation.</t>
    <phoneticPr fontId="1" type="noConversion"/>
  </si>
  <si>
    <t>varying primitive literal argument across calls</t>
    <phoneticPr fontId="1" type="noConversion"/>
  </si>
  <si>
    <t>Literal scalar inputs become constant-folded, producing strict value guards that recompile when the value changes across invocations.</t>
    <phoneticPr fontId="1" type="noConversion"/>
  </si>
  <si>
    <t>attaching global pre-invocation hooks to module methods</t>
    <phoneticPr fontId="1" type="noConversion"/>
  </si>
  <si>
    <t>Wrapper module introduced by compilation causes hooks to run twice, changing inputs and yielding different outputs.</t>
    <phoneticPr fontId="1" type="noConversion"/>
  </si>
  <si>
    <t>library predicate returning boolean inside compiled region</t>
    <phoneticPr fontId="1" type="noConversion"/>
  </si>
  <si>
    <t>string truthiness in conditional gating</t>
    <phoneticPr fontId="1" type="noConversion"/>
  </si>
  <si>
    <t>String-valued environment flag evaluated truthy, disabling compilation pre-dispatch regardless of intended 0/false setting.</t>
    <phoneticPr fontId="1" type="noConversion"/>
  </si>
  <si>
    <t>returning a container view object</t>
    <phoneticPr fontId="1" type="noConversion"/>
  </si>
  <si>
    <t>calling magic method on tensor subclass</t>
    <phoneticPr fontId="1" type="noConversion"/>
  </si>
  <si>
    <t>asserting relation between computed value and tensor dimension</t>
    <phoneticPr fontId="1" type="noConversion"/>
  </si>
  <si>
    <t>Relational shape constraint captured only as a guard isn't propagated to symbolic analysis, causing data-dependent guard failure during compilation.</t>
    <phoneticPr fontId="1" type="noConversion"/>
  </si>
  <si>
    <t>changing dimension equality across runs</t>
    <phoneticPr fontId="1" type="noConversion"/>
  </si>
  <si>
    <t>Shape-derived scalar arithmetic induces overspecialized guards; changing resolution breaks constraints and forces recompilation under dynamic shape.</t>
    <phoneticPr fontId="1" type="noConversion"/>
  </si>
  <si>
    <t>mutating attributes on a wrapped object</t>
    <phoneticPr fontId="1" type="noConversion"/>
  </si>
  <si>
    <t>Wrapper around compiled module fails to propagate dynamic attribute changes; attribute removal later raises, breaking offload orchestration.</t>
    <phoneticPr fontId="1" type="noConversion"/>
  </si>
  <si>
    <t>overriding a magic method in a class</t>
    <phoneticPr fontId="1" type="noConversion"/>
  </si>
  <si>
    <t>switching a boolean flag between calls</t>
    <phoneticPr fontId="1" type="noConversion"/>
  </si>
  <si>
    <t>Control-relevant flag not properly guarded, causing incompatible graph reuse and a stall at device synchronization.</t>
    <phoneticPr fontId="1" type="noConversion"/>
  </si>
  <si>
    <t>exception raised within context manager</t>
    <phoneticPr fontId="1" type="noConversion"/>
  </si>
  <si>
    <t>Changing dtype via attribute mutation is mis-modeled, causing fake set_ to error during compilation.</t>
    <phoneticPr fontId="1" type="noConversion"/>
  </si>
  <si>
    <t>data-dependent dimension used in compile-time guard</t>
    <phoneticPr fontId="1" type="noConversion"/>
  </si>
  <si>
    <t>Data-derived dynamic shape introduces equality guard on a symbolic value that the guard system cannot resolve, aborting compilation.</t>
    <phoneticPr fontId="1" type="noConversion"/>
  </si>
  <si>
    <t>invoking unmodeled Python built-ins inside library code</t>
    <phoneticPr fontId="1" type="noConversion"/>
  </si>
  <si>
    <t>Tracing into external code hits unsupported built-in semantics, aborting during bytecode modeling.</t>
    <phoneticPr fontId="1" type="noConversion"/>
  </si>
  <si>
    <t>exception from attribute access in try-except</t>
    <phoneticPr fontId="1" type="noConversion"/>
  </si>
  <si>
    <t>loading attribute yields callable missing expected name metadata</t>
    <phoneticPr fontId="1" type="noConversion"/>
  </si>
  <si>
    <t>accessing changing attribute used as static parameter</t>
    <phoneticPr fontId="1" type="noConversion"/>
  </si>
  <si>
    <t>Attribute value specialization installs equality guards; changing values cause repeated recompilation instead of symbolic handling.</t>
    <phoneticPr fontId="1" type="noConversion"/>
  </si>
  <si>
    <t>altering compiler options between invocations</t>
    <phoneticPr fontId="1" type="noConversion"/>
  </si>
  <si>
    <t>Configuration changes induce recompilation without guard attribution, causing repeated compile overhead and confusing empty guard messages.</t>
    <phoneticPr fontId="1" type="noConversion"/>
  </si>
  <si>
    <t>stateful tensor mutation across differentiation phases</t>
    <phoneticPr fontId="1" type="noConversion"/>
  </si>
  <si>
    <t>resetting global compiler state then reusing compiled callable</t>
    <phoneticPr fontId="1" type="noConversion"/>
  </si>
  <si>
    <t>mutating list during generator evaluation</t>
    <phoneticPr fontId="1" type="noConversion"/>
  </si>
  <si>
    <t>returning list output from function</t>
    <phoneticPr fontId="1" type="noConversion"/>
  </si>
  <si>
    <t>using call-time hooks that capture external objects via closures</t>
    <phoneticPr fontId="1" type="noConversion"/>
  </si>
  <si>
    <t>Hook closures cause over-guarding of captured state, increasing guard evaluation latency during compiled graph cache checks.</t>
    <phoneticPr fontId="1" type="noConversion"/>
  </si>
  <si>
    <t>using context manager decorator on non-generator function</t>
    <phoneticPr fontId="1" type="noConversion"/>
  </si>
  <si>
    <t>A decorator expecting a generator violates Dynamo’s generator modeling, triggering an assertion during symbolic execution.</t>
    <phoneticPr fontId="1" type="noConversion"/>
  </si>
  <si>
    <t>passing dynamic tensor scalars in shape-defining list</t>
    <phoneticPr fontId="1" type="noConversion"/>
  </si>
  <si>
    <t>passing tensor as scalar parameter</t>
    <phoneticPr fontId="1" type="noConversion"/>
  </si>
  <si>
    <t>Scalar argument modeled as FakeTensor; dispatcher rejects type, aborting compilation.</t>
    <phoneticPr fontId="1" type="noConversion"/>
  </si>
  <si>
    <t>conditional branch produces data-dependent output shape</t>
    <phoneticPr fontId="1" type="noConversion"/>
  </si>
  <si>
    <t>Structured control flow with dynamic-shape branch violates static-shape assumptions, making higher-order capture fail with an exception.</t>
    <phoneticPr fontId="1" type="noConversion"/>
  </si>
  <si>
    <t>trigger</t>
    <phoneticPr fontId="1" type="noConversion"/>
  </si>
  <si>
    <t>optimization</t>
    <phoneticPr fontId="1" type="noConversion"/>
  </si>
  <si>
    <r>
      <t>User-defined</t>
    </r>
    <r>
      <rPr>
        <sz val="10"/>
        <color rgb="FF00B050"/>
        <rFont val="Times New Roman"/>
        <family val="1"/>
      </rPr>
      <t xml:space="preserve"> iterable </t>
    </r>
    <r>
      <rPr>
        <sz val="10"/>
        <color theme="1"/>
        <rFont val="Times New Roman"/>
        <family val="1"/>
      </rPr>
      <t>module not supported by Dynamo iter modeling, causing an assertion during sequence unpack.</t>
    </r>
    <phoneticPr fontId="1" type="noConversion"/>
  </si>
  <si>
    <r>
      <rPr>
        <sz val="10"/>
        <color rgb="FF00B050"/>
        <rFont val="Times New Roman"/>
        <family val="1"/>
      </rPr>
      <t>Tuple-key module indexing</t>
    </r>
    <r>
      <rPr>
        <sz val="10"/>
        <color theme="1"/>
        <rFont val="Times New Roman"/>
        <family val="1"/>
      </rPr>
      <t xml:space="preserve"> unsupported; Dynamo assumes primitive keys, asserts during indexing modeling and breaks compilation.</t>
    </r>
    <phoneticPr fontId="1" type="noConversion"/>
  </si>
  <si>
    <r>
      <t>A</t>
    </r>
    <r>
      <rPr>
        <sz val="10"/>
        <color rgb="FFFF0000"/>
        <rFont val="Times New Roman"/>
        <family val="1"/>
      </rPr>
      <t xml:space="preserve"> </t>
    </r>
    <r>
      <rPr>
        <sz val="10"/>
        <color rgb="FF00B050"/>
        <rFont val="Times New Roman"/>
        <family val="1"/>
      </rPr>
      <t>boolean check</t>
    </r>
    <r>
      <rPr>
        <sz val="10"/>
        <color rgb="FFFF0000"/>
        <rFont val="Times New Roman"/>
        <family val="1"/>
      </rPr>
      <t xml:space="preserve"> </t>
    </r>
    <r>
      <rPr>
        <sz val="10"/>
        <color theme="1"/>
        <rFont val="Times New Roman"/>
        <family val="1"/>
      </rPr>
      <t xml:space="preserve">from a tensor method drives assert; Dynamo can't represent </t>
    </r>
    <r>
      <rPr>
        <sz val="10"/>
        <color rgb="FF00B050"/>
        <rFont val="Times New Roman"/>
        <family val="1"/>
      </rPr>
      <t>non-Tensor returns</t>
    </r>
    <r>
      <rPr>
        <sz val="10"/>
        <color theme="1"/>
        <rFont val="Times New Roman"/>
        <family val="1"/>
      </rPr>
      <t xml:space="preserve"> and aborts compilation.</t>
    </r>
    <phoneticPr fontId="1" type="noConversion"/>
  </si>
  <si>
    <r>
      <rPr>
        <sz val="10"/>
        <color rgb="FF00B050"/>
        <rFont val="Times New Roman"/>
        <family val="1"/>
      </rPr>
      <t>Hasattr</t>
    </r>
    <r>
      <rPr>
        <sz val="10"/>
        <color theme="1"/>
        <rFont val="Times New Roman"/>
        <family val="1"/>
      </rPr>
      <t xml:space="preserve"> on custom objects triggers graph breaks; explain underreports breaks, yielding inconsistent diagnostic outputs.</t>
    </r>
    <phoneticPr fontId="1" type="noConversion"/>
  </si>
  <si>
    <r>
      <rPr>
        <sz val="10"/>
        <color rgb="FFFF0000"/>
        <rFont val="Times New Roman"/>
        <family val="1"/>
      </rPr>
      <t>User-defined context manager</t>
    </r>
    <r>
      <rPr>
        <sz val="10"/>
        <color theme="1"/>
        <rFont val="Times New Roman"/>
        <family val="1"/>
      </rPr>
      <t xml:space="preserve"> semantics aren't captured during symbolic bytecode execution, aborting compilation.</t>
    </r>
    <phoneticPr fontId="1" type="noConversion"/>
  </si>
  <si>
    <r>
      <rPr>
        <sz val="10"/>
        <color rgb="FF00B050"/>
        <rFont val="Times New Roman"/>
        <family val="1"/>
      </rPr>
      <t>Iterator</t>
    </r>
    <r>
      <rPr>
        <sz val="10"/>
        <color theme="1"/>
        <rFont val="Times New Roman"/>
        <family val="1"/>
      </rPr>
      <t xml:space="preserve"> from a generator passed to a type check lacks compiler type info, aborting symbolic execution.</t>
    </r>
    <phoneticPr fontId="1" type="noConversion"/>
  </si>
  <si>
    <r>
      <t xml:space="preserve">Type-checking a captured object requires </t>
    </r>
    <r>
      <rPr>
        <sz val="10"/>
        <color rgb="FF00B050"/>
        <rFont val="Times New Roman"/>
        <family val="1"/>
      </rPr>
      <t>modeled types</t>
    </r>
    <r>
      <rPr>
        <sz val="10"/>
        <color theme="1"/>
        <rFont val="Times New Roman"/>
        <family val="1"/>
      </rPr>
      <t>; missing type metadata causes Dynamo to abort during bytecode handling.</t>
    </r>
    <phoneticPr fontId="1" type="noConversion"/>
  </si>
  <si>
    <r>
      <rPr>
        <sz val="10"/>
        <color rgb="FF00B050"/>
        <rFont val="Times New Roman"/>
        <family val="1"/>
      </rPr>
      <t>Python truthiness</t>
    </r>
    <r>
      <rPr>
        <sz val="10"/>
        <color theme="1"/>
        <rFont val="Times New Roman"/>
        <family val="1"/>
      </rPr>
      <t xml:space="preserve"> of dynamic values unsupported in bytecode modeling, causing compilation abort.</t>
    </r>
    <phoneticPr fontId="1" type="noConversion"/>
  </si>
  <si>
    <r>
      <rPr>
        <sz val="10"/>
        <color rgb="FF00B050"/>
        <rFont val="Times New Roman"/>
        <family val="1"/>
      </rPr>
      <t>Boolean truth</t>
    </r>
    <r>
      <rPr>
        <sz val="10"/>
        <color theme="1"/>
        <rFont val="Times New Roman"/>
        <family val="1"/>
      </rPr>
      <t xml:space="preserve"> testing on tensors unmodeled, causing Dynamo to abort during symbolic bytecode execution.</t>
    </r>
    <phoneticPr fontId="1" type="noConversion"/>
  </si>
  <si>
    <r>
      <rPr>
        <sz val="10"/>
        <color theme="1"/>
        <rFont val="宋体"/>
        <family val="3"/>
        <charset val="134"/>
      </rPr>
      <t>不是对应的</t>
    </r>
    <r>
      <rPr>
        <sz val="10"/>
        <color theme="1"/>
        <rFont val="Times New Roman"/>
        <family val="1"/>
      </rPr>
      <t xml:space="preserve">PR, </t>
    </r>
    <r>
      <rPr>
        <sz val="10"/>
        <color theme="1"/>
        <rFont val="宋体"/>
        <family val="3"/>
        <charset val="134"/>
      </rPr>
      <t>用一个新</t>
    </r>
    <r>
      <rPr>
        <sz val="10"/>
        <color theme="1"/>
        <rFont val="Times New Roman"/>
        <family val="1"/>
      </rPr>
      <t xml:space="preserve"> issue </t>
    </r>
    <r>
      <rPr>
        <sz val="10"/>
        <color theme="1"/>
        <rFont val="宋体"/>
        <family val="3"/>
        <charset val="134"/>
      </rPr>
      <t>来</t>
    </r>
    <r>
      <rPr>
        <sz val="10"/>
        <color theme="1"/>
        <rFont val="Times New Roman"/>
        <family val="1"/>
      </rPr>
      <t xml:space="preserve"> track </t>
    </r>
    <r>
      <rPr>
        <sz val="10"/>
        <color theme="1"/>
        <rFont val="宋体"/>
        <family val="3"/>
        <charset val="134"/>
      </rPr>
      <t>问题
是魔法方法</t>
    </r>
    <r>
      <rPr>
        <sz val="10"/>
        <color theme="1"/>
        <rFont val="Times New Roman"/>
        <family val="1"/>
      </rPr>
      <t>(__eq__)</t>
    </r>
    <r>
      <rPr>
        <sz val="10"/>
        <color theme="1"/>
        <rFont val="宋体"/>
        <family val="3"/>
        <charset val="134"/>
      </rPr>
      <t>的问题</t>
    </r>
    <phoneticPr fontId="1" type="noConversion"/>
  </si>
  <si>
    <r>
      <rPr>
        <sz val="10"/>
        <color theme="1"/>
        <rFont val="宋体"/>
        <family val="3"/>
        <charset val="134"/>
      </rPr>
      <t>也是</t>
    </r>
    <r>
      <rPr>
        <sz val="10"/>
        <color rgb="FF00B050"/>
        <rFont val="宋体"/>
        <family val="3"/>
        <charset val="134"/>
      </rPr>
      <t>魔法方法</t>
    </r>
    <r>
      <rPr>
        <sz val="10"/>
        <color theme="1"/>
        <rFont val="宋体"/>
        <family val="3"/>
        <charset val="134"/>
      </rPr>
      <t>问题</t>
    </r>
    <phoneticPr fontId="1" type="noConversion"/>
  </si>
  <si>
    <r>
      <t>hasattr</t>
    </r>
    <r>
      <rPr>
        <sz val="10"/>
        <color theme="1"/>
        <rFont val="宋体"/>
        <family val="3"/>
        <charset val="134"/>
      </rPr>
      <t>和</t>
    </r>
    <r>
      <rPr>
        <sz val="10"/>
        <color theme="1"/>
        <rFont val="Times New Roman"/>
        <family val="1"/>
      </rPr>
      <t>getattr</t>
    </r>
    <r>
      <rPr>
        <sz val="10"/>
        <color theme="1"/>
        <rFont val="宋体"/>
        <family val="3"/>
        <charset val="134"/>
      </rPr>
      <t>问题</t>
    </r>
    <r>
      <rPr>
        <sz val="10"/>
        <color theme="1"/>
        <rFont val="Times New Roman"/>
        <family val="1"/>
      </rPr>
      <t xml:space="preserve">, PR #130794 </t>
    </r>
    <r>
      <rPr>
        <sz val="10"/>
        <color theme="1"/>
        <rFont val="宋体"/>
        <family val="3"/>
        <charset val="134"/>
      </rPr>
      <t>解决这一类问题</t>
    </r>
    <phoneticPr fontId="1" type="noConversion"/>
  </si>
  <si>
    <r>
      <rPr>
        <sz val="10"/>
        <color theme="1"/>
        <rFont val="宋体"/>
        <family val="3"/>
        <charset val="134"/>
      </rPr>
      <t>没有对应</t>
    </r>
    <r>
      <rPr>
        <sz val="10"/>
        <color theme="1"/>
        <rFont val="Times New Roman"/>
        <family val="1"/>
      </rPr>
      <t xml:space="preserve"> PR, </t>
    </r>
    <r>
      <rPr>
        <sz val="10"/>
        <color theme="1"/>
        <rFont val="宋体"/>
        <family val="3"/>
        <charset val="134"/>
      </rPr>
      <t>不过</t>
    </r>
    <r>
      <rPr>
        <sz val="10"/>
        <color theme="1"/>
        <rFont val="Times New Roman"/>
        <family val="1"/>
      </rPr>
      <t xml:space="preserve"> Issue #111423 </t>
    </r>
    <r>
      <rPr>
        <sz val="10"/>
        <color theme="1"/>
        <rFont val="宋体"/>
        <family val="3"/>
        <charset val="134"/>
      </rPr>
      <t>中记录了更详细的信息</t>
    </r>
    <phoneticPr fontId="1" type="noConversion"/>
  </si>
  <si>
    <r>
      <rPr>
        <sz val="10"/>
        <color theme="1"/>
        <rFont val="宋体"/>
        <family val="3"/>
        <charset val="134"/>
      </rPr>
      <t>修改了整体</t>
    </r>
    <r>
      <rPr>
        <sz val="10"/>
        <color theme="1"/>
        <rFont val="Times New Roman"/>
        <family val="1"/>
      </rPr>
      <t xml:space="preserve"> Dynamo </t>
    </r>
    <r>
      <rPr>
        <sz val="10"/>
        <color theme="1"/>
        <rFont val="宋体"/>
        <family val="3"/>
        <charset val="134"/>
      </rPr>
      <t>处理</t>
    </r>
    <r>
      <rPr>
        <sz val="10"/>
        <color theme="1"/>
        <rFont val="Times New Roman"/>
        <family val="1"/>
      </rPr>
      <t xml:space="preserve"> Triton </t>
    </r>
    <r>
      <rPr>
        <sz val="10"/>
        <color theme="1"/>
        <rFont val="宋体"/>
        <family val="3"/>
        <charset val="134"/>
      </rPr>
      <t>的逻辑</t>
    </r>
    <r>
      <rPr>
        <sz val="10"/>
        <color theme="1"/>
        <rFont val="Times New Roman"/>
        <family val="1"/>
      </rPr>
      <t>(</t>
    </r>
    <r>
      <rPr>
        <sz val="10"/>
        <color theme="1"/>
        <rFont val="宋体"/>
        <family val="3"/>
        <charset val="134"/>
      </rPr>
      <t>原先是尝试直接追踪到</t>
    </r>
    <r>
      <rPr>
        <sz val="10"/>
        <color theme="1"/>
        <rFont val="Times New Roman"/>
        <family val="1"/>
      </rPr>
      <t xml:space="preserve"> Triton </t>
    </r>
    <r>
      <rPr>
        <sz val="10"/>
        <color theme="1"/>
        <rFont val="宋体"/>
        <family val="3"/>
        <charset val="134"/>
      </rPr>
      <t>内核</t>
    </r>
    <r>
      <rPr>
        <sz val="10"/>
        <color theme="1"/>
        <rFont val="Times New Roman"/>
        <family val="1"/>
      </rPr>
      <t xml:space="preserve">, </t>
    </r>
    <r>
      <rPr>
        <sz val="10"/>
        <color theme="1"/>
        <rFont val="宋体"/>
        <family val="3"/>
        <charset val="134"/>
      </rPr>
      <t>现在用</t>
    </r>
    <r>
      <rPr>
        <sz val="10"/>
        <color theme="1"/>
        <rFont val="Times New Roman"/>
        <family val="1"/>
      </rPr>
      <t xml:space="preserve"> @torch._library.triton_op? </t>
    </r>
    <r>
      <rPr>
        <sz val="10"/>
        <color theme="1"/>
        <rFont val="宋体"/>
        <family val="3"/>
        <charset val="134"/>
      </rPr>
      <t>将其封装</t>
    </r>
    <r>
      <rPr>
        <sz val="10"/>
        <color theme="1"/>
        <rFont val="Times New Roman"/>
        <family val="1"/>
      </rPr>
      <t xml:space="preserve">), </t>
    </r>
    <r>
      <rPr>
        <sz val="10"/>
        <color theme="1"/>
        <rFont val="宋体"/>
        <family val="3"/>
        <charset val="134"/>
      </rPr>
      <t>因此没有一个准确的</t>
    </r>
    <r>
      <rPr>
        <sz val="10"/>
        <color theme="1"/>
        <rFont val="Times New Roman"/>
        <family val="1"/>
      </rPr>
      <t xml:space="preserve"> PR </t>
    </r>
    <r>
      <rPr>
        <sz val="10"/>
        <color theme="1"/>
        <rFont val="宋体"/>
        <family val="3"/>
        <charset val="134"/>
      </rPr>
      <t>对应</t>
    </r>
    <phoneticPr fontId="1" type="noConversion"/>
  </si>
  <si>
    <r>
      <t>hasattr</t>
    </r>
    <r>
      <rPr>
        <sz val="10"/>
        <color theme="1"/>
        <rFont val="宋体"/>
        <family val="3"/>
        <charset val="134"/>
      </rPr>
      <t>问题</t>
    </r>
    <phoneticPr fontId="1" type="noConversion"/>
  </si>
  <si>
    <r>
      <t xml:space="preserve">torch/_dynamo/variables/builder.py
</t>
    </r>
    <r>
      <rPr>
        <sz val="10"/>
        <color theme="1"/>
        <rFont val="宋体"/>
        <family val="3"/>
        <charset val="134"/>
      </rPr>
      <t>非对应</t>
    </r>
    <r>
      <rPr>
        <sz val="10"/>
        <color theme="1"/>
        <rFont val="Times New Roman"/>
        <family val="1"/>
      </rPr>
      <t xml:space="preserve">PR, </t>
    </r>
    <r>
      <rPr>
        <sz val="10"/>
        <color theme="1"/>
        <rFont val="宋体"/>
        <family val="3"/>
        <charset val="134"/>
      </rPr>
      <t>但应该解决此问题</t>
    </r>
    <phoneticPr fontId="1" type="noConversion"/>
  </si>
  <si>
    <r>
      <t xml:space="preserve">torch/_dynamo/symbolic_convert.py
torch/_dynamo/variables/functions.py
</t>
    </r>
    <r>
      <rPr>
        <sz val="10"/>
        <color theme="1"/>
        <rFont val="宋体"/>
        <family val="3"/>
        <charset val="134"/>
      </rPr>
      <t>非对应</t>
    </r>
    <r>
      <rPr>
        <sz val="10"/>
        <color theme="1"/>
        <rFont val="Times New Roman"/>
        <family val="1"/>
      </rPr>
      <t xml:space="preserve">PR, </t>
    </r>
    <r>
      <rPr>
        <sz val="10"/>
        <color theme="1"/>
        <rFont val="宋体"/>
        <family val="3"/>
        <charset val="134"/>
      </rPr>
      <t>但应该解决此问题</t>
    </r>
    <phoneticPr fontId="1" type="noConversion"/>
  </si>
  <si>
    <r>
      <rPr>
        <sz val="10"/>
        <color theme="1"/>
        <rFont val="宋体"/>
        <family val="3"/>
        <charset val="134"/>
      </rPr>
      <t>将</t>
    </r>
    <r>
      <rPr>
        <sz val="10"/>
        <color theme="1"/>
        <rFont val="Times New Roman"/>
        <family val="1"/>
      </rPr>
      <t xml:space="preserve"> TORCHDYNAMO_INLINE_INBUILT_NN_MODULES </t>
    </r>
    <r>
      <rPr>
        <sz val="10"/>
        <color theme="1"/>
        <rFont val="宋体"/>
        <family val="3"/>
        <charset val="134"/>
      </rPr>
      <t>设置为默认启用</t>
    </r>
    <phoneticPr fontId="1" type="noConversion"/>
  </si>
  <si>
    <r>
      <t xml:space="preserve">torch/_dynamo/guards.py
torch/_guards.py
</t>
    </r>
    <r>
      <rPr>
        <sz val="10"/>
        <color theme="1"/>
        <rFont val="宋体"/>
        <family val="3"/>
        <charset val="134"/>
      </rPr>
      <t>非对应</t>
    </r>
    <r>
      <rPr>
        <sz val="10"/>
        <color theme="1"/>
        <rFont val="Times New Roman"/>
        <family val="1"/>
      </rPr>
      <t xml:space="preserve">PR, </t>
    </r>
    <r>
      <rPr>
        <sz val="10"/>
        <color theme="1"/>
        <rFont val="宋体"/>
        <family val="3"/>
        <charset val="134"/>
      </rPr>
      <t>但其他用户确认该</t>
    </r>
    <r>
      <rPr>
        <sz val="10"/>
        <color theme="1"/>
        <rFont val="Times New Roman"/>
        <family val="1"/>
      </rPr>
      <t>PR</t>
    </r>
    <r>
      <rPr>
        <sz val="10"/>
        <color theme="1"/>
        <rFont val="宋体"/>
        <family val="3"/>
        <charset val="134"/>
      </rPr>
      <t>可解决此问题</t>
    </r>
    <phoneticPr fontId="1" type="noConversion"/>
  </si>
  <si>
    <r>
      <t xml:space="preserve">torch/_meta_registrations.py
torch/_meta_registrations.py
</t>
    </r>
    <r>
      <rPr>
        <sz val="10"/>
        <color theme="1"/>
        <rFont val="宋体"/>
        <family val="3"/>
        <charset val="134"/>
      </rPr>
      <t>非对应</t>
    </r>
    <r>
      <rPr>
        <sz val="10"/>
        <color theme="1"/>
        <rFont val="Times New Roman"/>
        <family val="1"/>
      </rPr>
      <t xml:space="preserve">PR, </t>
    </r>
    <r>
      <rPr>
        <sz val="10"/>
        <color theme="1"/>
        <rFont val="宋体"/>
        <family val="3"/>
        <charset val="134"/>
      </rPr>
      <t>但应该解决此问题</t>
    </r>
    <phoneticPr fontId="1" type="noConversion"/>
  </si>
  <si>
    <r>
      <rPr>
        <sz val="10"/>
        <color theme="1"/>
        <rFont val="宋体"/>
        <family val="3"/>
        <charset val="134"/>
      </rPr>
      <t>可能是配置设置问题</t>
    </r>
    <phoneticPr fontId="1" type="noConversion"/>
  </si>
  <si>
    <r>
      <t xml:space="preserve">torch/_dynamo/trace_rules.py
</t>
    </r>
    <r>
      <rPr>
        <sz val="10"/>
        <color theme="1"/>
        <rFont val="宋体"/>
        <family val="3"/>
        <charset val="134"/>
      </rPr>
      <t>非对应</t>
    </r>
    <r>
      <rPr>
        <sz val="10"/>
        <color theme="1"/>
        <rFont val="Times New Roman"/>
        <family val="1"/>
      </rPr>
      <t xml:space="preserve">PR, </t>
    </r>
    <r>
      <rPr>
        <sz val="10"/>
        <color theme="1"/>
        <rFont val="宋体"/>
        <family val="3"/>
        <charset val="134"/>
      </rPr>
      <t>但应该解决此问题</t>
    </r>
    <phoneticPr fontId="1" type="noConversion"/>
  </si>
  <si>
    <r>
      <rPr>
        <sz val="10"/>
        <color theme="1"/>
        <rFont val="宋体"/>
        <family val="3"/>
        <charset val="134"/>
      </rPr>
      <t>这个</t>
    </r>
    <r>
      <rPr>
        <sz val="10"/>
        <color theme="1"/>
        <rFont val="Times New Roman"/>
        <family val="1"/>
      </rPr>
      <t xml:space="preserve"> PR </t>
    </r>
    <r>
      <rPr>
        <sz val="10"/>
        <color theme="1"/>
        <rFont val="宋体"/>
        <family val="3"/>
        <charset val="134"/>
      </rPr>
      <t>修复了一些不相关的问题，但应该已间接修复这个问题</t>
    </r>
    <phoneticPr fontId="1" type="noConversion"/>
  </si>
  <si>
    <r>
      <rPr>
        <sz val="10"/>
        <color theme="1"/>
        <rFont val="宋体"/>
        <family val="3"/>
        <charset val="134"/>
      </rPr>
      <t>应该还是和</t>
    </r>
    <r>
      <rPr>
        <sz val="10"/>
        <color theme="1"/>
        <rFont val="Times New Roman"/>
        <family val="1"/>
      </rPr>
      <t xml:space="preserve"> inline_inbuilt_nn_modules </t>
    </r>
    <r>
      <rPr>
        <sz val="10"/>
        <color theme="1"/>
        <rFont val="宋体"/>
        <family val="3"/>
        <charset val="134"/>
      </rPr>
      <t>有关</t>
    </r>
    <r>
      <rPr>
        <sz val="10"/>
        <color theme="1"/>
        <rFont val="Times New Roman"/>
        <family val="1"/>
      </rPr>
      <t>(</t>
    </r>
    <r>
      <rPr>
        <sz val="10"/>
        <color theme="1"/>
        <rFont val="宋体"/>
        <family val="3"/>
        <charset val="134"/>
      </rPr>
      <t>之前的几个</t>
    </r>
    <r>
      <rPr>
        <sz val="10"/>
        <color theme="1"/>
        <rFont val="Times New Roman"/>
        <family val="1"/>
      </rPr>
      <t>issue</t>
    </r>
    <r>
      <rPr>
        <sz val="10"/>
        <color theme="1"/>
        <rFont val="宋体"/>
        <family val="3"/>
        <charset val="134"/>
      </rPr>
      <t>也提到了这个配置信息</t>
    </r>
    <r>
      <rPr>
        <sz val="10"/>
        <color theme="1"/>
        <rFont val="Times New Roman"/>
        <family val="1"/>
      </rPr>
      <t xml:space="preserve">)
</t>
    </r>
    <r>
      <rPr>
        <sz val="10"/>
        <color theme="1"/>
        <rFont val="宋体"/>
        <family val="3"/>
        <charset val="134"/>
      </rPr>
      <t>这条</t>
    </r>
    <r>
      <rPr>
        <sz val="10"/>
        <color theme="1"/>
        <rFont val="Times New Roman"/>
        <family val="1"/>
      </rPr>
      <t xml:space="preserve"> PR </t>
    </r>
    <r>
      <rPr>
        <sz val="10"/>
        <color theme="1"/>
        <rFont val="宋体"/>
        <family val="3"/>
        <charset val="134"/>
      </rPr>
      <t>中没有有效信息</t>
    </r>
    <r>
      <rPr>
        <sz val="10"/>
        <color theme="1"/>
        <rFont val="Times New Roman"/>
        <family val="1"/>
      </rPr>
      <t xml:space="preserve">, </t>
    </r>
    <r>
      <rPr>
        <sz val="10"/>
        <color theme="1"/>
        <rFont val="宋体"/>
        <family val="3"/>
        <charset val="134"/>
      </rPr>
      <t>只修改了一个</t>
    </r>
    <r>
      <rPr>
        <sz val="10"/>
        <color theme="1"/>
        <rFont val="Times New Roman"/>
        <family val="1"/>
      </rPr>
      <t xml:space="preserve"> test </t>
    </r>
    <r>
      <rPr>
        <sz val="10"/>
        <color theme="1"/>
        <rFont val="宋体"/>
        <family val="3"/>
        <charset val="134"/>
      </rPr>
      <t>文件</t>
    </r>
    <r>
      <rPr>
        <sz val="10"/>
        <color theme="1"/>
        <rFont val="Times New Roman"/>
        <family val="1"/>
      </rPr>
      <t xml:space="preserve">, </t>
    </r>
    <r>
      <rPr>
        <sz val="10"/>
        <color theme="1"/>
        <rFont val="宋体"/>
        <family val="3"/>
        <charset val="134"/>
      </rPr>
      <t>完全没修改</t>
    </r>
    <r>
      <rPr>
        <sz val="10"/>
        <color theme="1"/>
        <rFont val="Times New Roman"/>
        <family val="1"/>
      </rPr>
      <t xml:space="preserve"> dynamo </t>
    </r>
    <r>
      <rPr>
        <sz val="10"/>
        <color theme="1"/>
        <rFont val="宋体"/>
        <family val="3"/>
        <charset val="134"/>
      </rPr>
      <t>核心逻辑</t>
    </r>
    <phoneticPr fontId="1" type="noConversion"/>
  </si>
  <si>
    <r>
      <t xml:space="preserve">torch/_dynamo/eval_frame.py
</t>
    </r>
    <r>
      <rPr>
        <sz val="10"/>
        <color theme="1"/>
        <rFont val="宋体"/>
        <family val="3"/>
        <charset val="134"/>
      </rPr>
      <t>非对应</t>
    </r>
    <r>
      <rPr>
        <sz val="10"/>
        <color theme="1"/>
        <rFont val="Times New Roman"/>
        <family val="1"/>
      </rPr>
      <t xml:space="preserve">PR, </t>
    </r>
    <r>
      <rPr>
        <sz val="10"/>
        <color theme="1"/>
        <rFont val="宋体"/>
        <family val="3"/>
        <charset val="134"/>
      </rPr>
      <t>但应该解决此问题</t>
    </r>
    <phoneticPr fontId="1" type="noConversion"/>
  </si>
  <si>
    <r>
      <t xml:space="preserve">torch/_dynamo/variables/higher_order_ops.py
</t>
    </r>
    <r>
      <rPr>
        <sz val="10"/>
        <color theme="1"/>
        <rFont val="宋体"/>
        <family val="3"/>
        <charset val="134"/>
      </rPr>
      <t>非对应</t>
    </r>
    <r>
      <rPr>
        <sz val="10"/>
        <color theme="1"/>
        <rFont val="Times New Roman"/>
        <family val="1"/>
      </rPr>
      <t xml:space="preserve">PR, </t>
    </r>
    <r>
      <rPr>
        <sz val="10"/>
        <color theme="1"/>
        <rFont val="宋体"/>
        <family val="3"/>
        <charset val="134"/>
      </rPr>
      <t>但应该解决此问题</t>
    </r>
    <phoneticPr fontId="1" type="noConversion"/>
  </si>
  <si>
    <r>
      <t xml:space="preserve">torch/_functorch/partitioners.py
PR #155354 </t>
    </r>
    <r>
      <rPr>
        <sz val="10"/>
        <color theme="1"/>
        <rFont val="宋体"/>
        <family val="3"/>
        <charset val="134"/>
      </rPr>
      <t>看起来非常复杂</t>
    </r>
    <r>
      <rPr>
        <sz val="10"/>
        <color theme="1"/>
        <rFont val="Times New Roman"/>
        <family val="1"/>
      </rPr>
      <t xml:space="preserve">, </t>
    </r>
    <r>
      <rPr>
        <sz val="10"/>
        <color theme="1"/>
        <rFont val="宋体"/>
        <family val="3"/>
        <charset val="134"/>
      </rPr>
      <t>修改了很多非</t>
    </r>
    <r>
      <rPr>
        <sz val="10"/>
        <color theme="1"/>
        <rFont val="Times New Roman"/>
        <family val="1"/>
      </rPr>
      <t>dynamo</t>
    </r>
    <r>
      <rPr>
        <sz val="10"/>
        <color theme="1"/>
        <rFont val="宋体"/>
        <family val="3"/>
        <charset val="134"/>
      </rPr>
      <t>内容</t>
    </r>
    <phoneticPr fontId="1" type="noConversion"/>
  </si>
  <si>
    <r>
      <t xml:space="preserve">external kernel / </t>
    </r>
    <r>
      <rPr>
        <sz val="10"/>
        <color theme="1"/>
        <rFont val="宋体"/>
        <family val="3"/>
        <charset val="134"/>
      </rPr>
      <t>非</t>
    </r>
    <r>
      <rPr>
        <sz val="10"/>
        <color theme="1"/>
        <rFont val="Times New Roman"/>
        <family val="1"/>
      </rPr>
      <t xml:space="preserve"> fake-compatible operator </t>
    </r>
    <r>
      <rPr>
        <sz val="10"/>
        <color theme="1"/>
        <rFont val="宋体"/>
        <family val="3"/>
        <charset val="134"/>
      </rPr>
      <t>在执行时</t>
    </r>
    <r>
      <rPr>
        <sz val="10"/>
        <color theme="1"/>
        <rFont val="Times New Roman"/>
        <family val="1"/>
      </rPr>
      <t xml:space="preserve"> </t>
    </r>
    <r>
      <rPr>
        <sz val="10"/>
        <color theme="1"/>
        <rFont val="宋体"/>
        <family val="3"/>
        <charset val="134"/>
      </rPr>
      <t>强制要求真实的</t>
    </r>
    <r>
      <rPr>
        <sz val="10"/>
        <color theme="1"/>
        <rFont val="Times New Roman"/>
        <family val="1"/>
      </rPr>
      <t xml:space="preserve"> tensor allocation</t>
    </r>
    <r>
      <rPr>
        <sz val="10"/>
        <color theme="1"/>
        <rFont val="宋体"/>
        <family val="3"/>
        <charset val="134"/>
      </rPr>
      <t>。无法仅依赖</t>
    </r>
    <r>
      <rPr>
        <sz val="10"/>
        <color theme="1"/>
        <rFont val="Times New Roman"/>
        <family val="1"/>
      </rPr>
      <t xml:space="preserve"> FakeTensor </t>
    </r>
    <r>
      <rPr>
        <sz val="10"/>
        <color theme="1"/>
        <rFont val="宋体"/>
        <family val="3"/>
        <charset val="134"/>
      </rPr>
      <t>提供的元信息进行模拟执行</t>
    </r>
    <phoneticPr fontId="1" type="noConversion"/>
  </si>
  <si>
    <r>
      <t xml:space="preserve">FakeTensor execution of an </t>
    </r>
    <r>
      <rPr>
        <sz val="10"/>
        <color rgb="FF00B050"/>
        <rFont val="Times New Roman"/>
        <family val="1"/>
      </rPr>
      <t>external kernel</t>
    </r>
    <r>
      <rPr>
        <sz val="10"/>
        <color theme="1"/>
        <rFont val="Times New Roman"/>
        <family val="1"/>
      </rPr>
      <t xml:space="preserve"> requires real allocation, causing Dynamo to fail during graph construction.</t>
    </r>
    <phoneticPr fontId="1" type="noConversion"/>
  </si>
  <si>
    <r>
      <t xml:space="preserve">Function introspection via </t>
    </r>
    <r>
      <rPr>
        <sz val="10"/>
        <color rgb="FF00B050"/>
        <rFont val="Times New Roman"/>
        <family val="1"/>
      </rPr>
      <t>string conversion</t>
    </r>
    <r>
      <rPr>
        <sz val="10"/>
        <color theme="1"/>
        <rFont val="Times New Roman"/>
        <family val="1"/>
      </rPr>
      <t xml:space="preserve"> clashes with Dynamo's builtin modeling, causing unsupported error under fullgraph compilation.</t>
    </r>
    <phoneticPr fontId="1" type="noConversion"/>
  </si>
  <si>
    <r>
      <rPr>
        <i/>
        <sz val="10"/>
        <color theme="0" tint="-0.34998626667073579"/>
        <rFont val="宋体"/>
        <family val="3"/>
        <charset val="134"/>
      </rPr>
      <t>这个</t>
    </r>
    <r>
      <rPr>
        <i/>
        <sz val="10"/>
        <color theme="0" tint="-0.34998626667073579"/>
        <rFont val="Times New Roman"/>
        <family val="1"/>
      </rPr>
      <t xml:space="preserve"> PR </t>
    </r>
    <r>
      <rPr>
        <i/>
        <sz val="10"/>
        <color theme="0" tint="-0.34998626667073579"/>
        <rFont val="宋体"/>
        <family val="3"/>
        <charset val="134"/>
      </rPr>
      <t>没有</t>
    </r>
    <r>
      <rPr>
        <i/>
        <sz val="10"/>
        <color theme="0" tint="-0.34998626667073579"/>
        <rFont val="Times New Roman"/>
        <family val="1"/>
      </rPr>
      <t xml:space="preserve"> MERGE, </t>
    </r>
    <r>
      <rPr>
        <i/>
        <sz val="10"/>
        <color theme="0" tint="-0.34998626667073579"/>
        <rFont val="宋体"/>
        <family val="3"/>
        <charset val="134"/>
      </rPr>
      <t>关闭是认为是与</t>
    </r>
    <r>
      <rPr>
        <i/>
        <sz val="10"/>
        <color theme="0" tint="-0.34998626667073579"/>
        <rFont val="Times New Roman"/>
        <family val="1"/>
      </rPr>
      <t xml:space="preserve"> dynamo </t>
    </r>
    <r>
      <rPr>
        <i/>
        <sz val="10"/>
        <color theme="0" tint="-0.34998626667073579"/>
        <rFont val="宋体"/>
        <family val="3"/>
        <charset val="134"/>
      </rPr>
      <t>无关的精度问题</t>
    </r>
    <phoneticPr fontId="1" type="noConversion"/>
  </si>
  <si>
    <r>
      <rPr>
        <sz val="10"/>
        <color rgb="FF00B050"/>
        <rFont val="Times New Roman"/>
        <family val="1"/>
      </rPr>
      <t>Hashing</t>
    </r>
    <r>
      <rPr>
        <sz val="10"/>
        <color theme="1"/>
        <rFont val="Times New Roman"/>
        <family val="1"/>
      </rPr>
      <t xml:space="preserve"> symbolic shape values during tracing fails because symbolic integers are non-hashable, causing a compilation-time exception.</t>
    </r>
    <phoneticPr fontId="1" type="noConversion"/>
  </si>
  <si>
    <r>
      <rPr>
        <sz val="10"/>
        <color rgb="FF00B050"/>
        <rFont val="Times New Roman"/>
        <family val="1"/>
      </rPr>
      <t>decorated</t>
    </r>
    <r>
      <rPr>
        <sz val="10"/>
        <color theme="1"/>
        <rFont val="Times New Roman"/>
        <family val="1"/>
      </rPr>
      <t xml:space="preserve"> method call via instance binding</t>
    </r>
    <phoneticPr fontId="1" type="noConversion"/>
  </si>
  <si>
    <r>
      <rPr>
        <sz val="10"/>
        <color rgb="FF00B050"/>
        <rFont val="Times New Roman"/>
        <family val="1"/>
      </rPr>
      <t>Descriptor</t>
    </r>
    <r>
      <rPr>
        <sz val="10"/>
        <color theme="1"/>
        <rFont val="Times New Roman"/>
        <family val="1"/>
      </rPr>
      <t xml:space="preserve"> binding for methods mis-modeled during bytecode tracing, causing instance to be returned instead of expected class result.</t>
    </r>
    <phoneticPr fontId="1" type="noConversion"/>
  </si>
  <si>
    <r>
      <rPr>
        <sz val="10"/>
        <color rgb="FF00B050"/>
        <rFont val="Times New Roman"/>
        <family val="1"/>
      </rPr>
      <t>Kwarg using a Python keyword</t>
    </r>
    <r>
      <rPr>
        <sz val="10"/>
        <color theme="1"/>
        <rFont val="Times New Roman"/>
        <family val="1"/>
      </rPr>
      <t xml:space="preserve"> is emitted unsanitized in FX source, producing invalid syntax and aborting compilation.</t>
    </r>
    <phoneticPr fontId="1" type="noConversion"/>
  </si>
  <si>
    <r>
      <rPr>
        <sz val="10"/>
        <color rgb="FF00B050"/>
        <rFont val="Times New Roman"/>
        <family val="1"/>
      </rPr>
      <t>Flattening a subclass</t>
    </r>
    <r>
      <rPr>
        <sz val="10"/>
        <color theme="1"/>
        <rFont val="Times New Roman"/>
        <family val="1"/>
      </rPr>
      <t xml:space="preserve"> during fake analysis accesses missing attributes, causing compiler to abort.</t>
    </r>
    <phoneticPr fontId="1" type="noConversion"/>
  </si>
  <si>
    <r>
      <t xml:space="preserve">Converting a traced tensor to a </t>
    </r>
    <r>
      <rPr>
        <sz val="10"/>
        <color rgb="FF00B050"/>
        <rFont val="Times New Roman"/>
        <family val="1"/>
      </rPr>
      <t>non-tensor</t>
    </r>
    <r>
      <rPr>
        <sz val="10"/>
        <color theme="1"/>
        <rFont val="Times New Roman"/>
        <family val="1"/>
      </rPr>
      <t xml:space="preserve"> is unsupported during symbolic execution, causing a compilation crash.</t>
    </r>
    <phoneticPr fontId="1" type="noConversion"/>
  </si>
  <si>
    <r>
      <t xml:space="preserve">Treating an </t>
    </r>
    <r>
      <rPr>
        <sz val="10"/>
        <color rgb="FF00B050"/>
        <rFont val="Times New Roman"/>
        <family val="1"/>
      </rPr>
      <t>external global mapping</t>
    </r>
    <r>
      <rPr>
        <sz val="10"/>
        <color theme="1"/>
        <rFont val="Times New Roman"/>
        <family val="1"/>
      </rPr>
      <t xml:space="preserve"> as constant mis-models getitem, triggering a KeyError and Dynamo compilation abort.</t>
    </r>
    <phoneticPr fontId="1" type="noConversion"/>
  </si>
  <si>
    <r>
      <rPr>
        <b/>
        <sz val="10"/>
        <color theme="1"/>
        <rFont val="宋体"/>
        <family val="3"/>
        <charset val="134"/>
      </rPr>
      <t>备注</t>
    </r>
    <phoneticPr fontId="1" type="noConversion"/>
  </si>
  <si>
    <r>
      <rPr>
        <sz val="10"/>
        <color theme="1"/>
        <rFont val="宋体"/>
        <family val="3"/>
        <charset val="134"/>
      </rPr>
      <t>相当于</t>
    </r>
    <r>
      <rPr>
        <sz val="10"/>
        <color theme="1"/>
        <rFont val="Times New Roman"/>
        <family val="1"/>
      </rPr>
      <t>dynamo</t>
    </r>
    <r>
      <rPr>
        <sz val="10"/>
        <color theme="1"/>
        <rFont val="宋体"/>
        <family val="3"/>
        <charset val="134"/>
      </rPr>
      <t>不支持函数的</t>
    </r>
    <r>
      <rPr>
        <sz val="10"/>
        <color theme="1"/>
        <rFont val="Times New Roman"/>
        <family val="1"/>
      </rPr>
      <t>str(func) / repr(func)</t>
    </r>
    <r>
      <rPr>
        <sz val="10"/>
        <color theme="1"/>
        <rFont val="宋体"/>
        <family val="3"/>
        <charset val="134"/>
      </rPr>
      <t>操作，因为这些字符串化（</t>
    </r>
    <r>
      <rPr>
        <sz val="10"/>
        <color theme="1"/>
        <rFont val="Times New Roman"/>
        <family val="1"/>
      </rPr>
      <t>stringifying</t>
    </r>
    <r>
      <rPr>
        <sz val="10"/>
        <color theme="1"/>
        <rFont val="宋体"/>
        <family val="3"/>
        <charset val="134"/>
      </rPr>
      <t>）函数对象的操作可能依赖函数的</t>
    </r>
    <r>
      <rPr>
        <sz val="10"/>
        <color theme="1"/>
        <rFont val="Times New Roman"/>
        <family val="1"/>
      </rPr>
      <t xml:space="preserve"> __qualname__</t>
    </r>
    <r>
      <rPr>
        <sz val="10"/>
        <color theme="1"/>
        <rFont val="宋体"/>
        <family val="3"/>
        <charset val="134"/>
      </rPr>
      <t>、</t>
    </r>
    <r>
      <rPr>
        <sz val="10"/>
        <color theme="1"/>
        <rFont val="Times New Roman"/>
        <family val="1"/>
      </rPr>
      <t>__module__</t>
    </r>
    <r>
      <rPr>
        <sz val="10"/>
        <color theme="1"/>
        <rFont val="宋体"/>
        <family val="3"/>
        <charset val="134"/>
      </rPr>
      <t>、</t>
    </r>
    <r>
      <rPr>
        <sz val="10"/>
        <color theme="1"/>
        <rFont val="Times New Roman"/>
        <family val="1"/>
      </rPr>
      <t>closure</t>
    </r>
    <r>
      <rPr>
        <sz val="10"/>
        <color theme="1"/>
        <rFont val="宋体"/>
        <family val="3"/>
        <charset val="134"/>
      </rPr>
      <t>、</t>
    </r>
    <r>
      <rPr>
        <sz val="10"/>
        <color theme="1"/>
        <rFont val="Times New Roman"/>
        <family val="1"/>
      </rPr>
      <t xml:space="preserve">decorator </t>
    </r>
    <r>
      <rPr>
        <sz val="10"/>
        <color theme="1"/>
        <rFont val="宋体"/>
        <family val="3"/>
        <charset val="134"/>
      </rPr>
      <t>等运行时属性</t>
    </r>
    <phoneticPr fontId="1" type="noConversion"/>
  </si>
  <si>
    <r>
      <rPr>
        <sz val="10"/>
        <color theme="1"/>
        <rFont val="宋体"/>
        <family val="3"/>
        <charset val="134"/>
      </rPr>
      <t>对带有隐藏内部状态的</t>
    </r>
    <r>
      <rPr>
        <sz val="10"/>
        <color theme="1"/>
        <rFont val="Times New Roman"/>
        <family val="1"/>
      </rPr>
      <t xml:space="preserve"> Tensor </t>
    </r>
    <r>
      <rPr>
        <sz val="10"/>
        <color theme="1"/>
        <rFont val="宋体"/>
        <family val="3"/>
        <charset val="134"/>
      </rPr>
      <t>子类（</t>
    </r>
    <r>
      <rPr>
        <sz val="10"/>
        <color theme="1"/>
        <rFont val="Times New Roman"/>
        <family val="1"/>
      </rPr>
      <t>tensor subclass</t>
    </r>
    <r>
      <rPr>
        <sz val="10"/>
        <color theme="1"/>
        <rFont val="宋体"/>
        <family val="3"/>
        <charset val="134"/>
      </rPr>
      <t>）进行</t>
    </r>
    <r>
      <rPr>
        <sz val="10"/>
        <color theme="1"/>
        <rFont val="Times New Roman"/>
        <family val="1"/>
      </rPr>
      <t xml:space="preserve"> fake analysis / flattening </t>
    </r>
    <r>
      <rPr>
        <sz val="10"/>
        <color theme="1"/>
        <rFont val="宋体"/>
        <family val="3"/>
        <charset val="134"/>
      </rPr>
      <t>时，错误地假设其内部属性完整可见，导致访问不存在的属性</t>
    </r>
  </si>
  <si>
    <r>
      <t xml:space="preserve">Dynamo mis-models </t>
    </r>
    <r>
      <rPr>
        <sz val="10"/>
        <color rgb="FF00B050"/>
        <rFont val="Times New Roman"/>
        <family val="1"/>
      </rPr>
      <t>mixed arithmetic</t>
    </r>
    <r>
      <rPr>
        <sz val="10"/>
        <color theme="1"/>
        <rFont val="Times New Roman"/>
        <family val="1"/>
      </rPr>
      <t>, treating scalars as tensors; inserted tensor-only ops on scalars crash FakeTensor dispatch.</t>
    </r>
    <phoneticPr fontId="1" type="noConversion"/>
  </si>
  <si>
    <r>
      <t xml:space="preserve">Variable tracking mis-models </t>
    </r>
    <r>
      <rPr>
        <sz val="10"/>
        <color rgb="FF00B050"/>
        <rFont val="Times New Roman"/>
        <family val="1"/>
      </rPr>
      <t>user-object instantiation</t>
    </r>
    <r>
      <rPr>
        <sz val="10"/>
        <color theme="1"/>
        <rFont val="Times New Roman"/>
        <family val="1"/>
      </rPr>
      <t>, losing initialized attributes and causing AttributeError during compiled execution.</t>
    </r>
    <phoneticPr fontId="1" type="noConversion"/>
  </si>
  <si>
    <r>
      <t xml:space="preserve">Keyword expansion requires </t>
    </r>
    <r>
      <rPr>
        <sz val="10"/>
        <color rgb="FF00B050"/>
        <rFont val="Times New Roman"/>
        <family val="1"/>
      </rPr>
      <t>dict merge/update</t>
    </r>
    <r>
      <rPr>
        <sz val="10"/>
        <color theme="1"/>
        <rFont val="Times New Roman"/>
        <family val="1"/>
      </rPr>
      <t>; Dynamo lacks modeling for merging constant dicts with custom mappings, triggering an Unsupported error.</t>
    </r>
    <phoneticPr fontId="1" type="noConversion"/>
  </si>
  <si>
    <r>
      <t>Dynamo fails to model</t>
    </r>
    <r>
      <rPr>
        <sz val="10"/>
        <color rgb="FF00B050"/>
        <rFont val="Times New Roman"/>
        <family val="1"/>
      </rPr>
      <t xml:space="preserve"> multi-iterable builtin iteration</t>
    </r>
    <r>
      <rPr>
        <sz val="10"/>
        <color theme="1"/>
        <rFont val="Times New Roman"/>
        <family val="1"/>
      </rPr>
      <t>, yielding unsupported handler and fullgraph compilation abort.</t>
    </r>
    <phoneticPr fontId="1" type="noConversion"/>
  </si>
  <si>
    <r>
      <rPr>
        <sz val="10"/>
        <color rgb="FF00B050"/>
        <rFont val="Times New Roman"/>
        <family val="1"/>
      </rPr>
      <t>iteratively build broadcasted tensor</t>
    </r>
    <r>
      <rPr>
        <sz val="10"/>
        <color theme="1"/>
        <rFont val="Times New Roman"/>
        <family val="1"/>
      </rPr>
      <t xml:space="preserve"> across dimensions</t>
    </r>
    <phoneticPr fontId="1" type="noConversion"/>
  </si>
  <si>
    <r>
      <rPr>
        <sz val="10"/>
        <color theme="1"/>
        <rFont val="等线"/>
        <family val="1"/>
        <charset val="134"/>
      </rPr>
      <t>对每一次</t>
    </r>
    <r>
      <rPr>
        <sz val="10"/>
        <color theme="1"/>
        <rFont val="Times New Roman"/>
        <family val="1"/>
      </rPr>
      <t xml:space="preserve"> broadcast / expand </t>
    </r>
    <r>
      <rPr>
        <sz val="10"/>
        <color theme="1"/>
        <rFont val="等线"/>
        <family val="1"/>
        <charset val="134"/>
      </rPr>
      <t>操作创建新的</t>
    </r>
    <r>
      <rPr>
        <sz val="10"/>
        <color theme="1"/>
        <rFont val="Times New Roman"/>
        <family val="1"/>
      </rPr>
      <t xml:space="preserve"> VariableTracker</t>
    </r>
    <r>
      <rPr>
        <sz val="10"/>
        <color theme="1"/>
        <rFont val="宋体"/>
        <family val="1"/>
        <charset val="134"/>
      </rPr>
      <t>，</t>
    </r>
    <r>
      <rPr>
        <sz val="10"/>
        <color theme="1"/>
        <rFont val="等线"/>
        <family val="1"/>
        <charset val="134"/>
      </rPr>
      <t>未能识别前一轮中间</t>
    </r>
    <r>
      <rPr>
        <sz val="10"/>
        <color theme="1"/>
        <rFont val="Times New Roman"/>
        <family val="1"/>
      </rPr>
      <t xml:space="preserve"> tensor </t>
    </r>
    <r>
      <rPr>
        <sz val="10"/>
        <color theme="1"/>
        <rFont val="等线"/>
        <family val="1"/>
        <charset val="134"/>
      </rPr>
      <t>已不再被后续字节码引用。这些“逻辑上已死亡”的值仍被保留在</t>
    </r>
    <r>
      <rPr>
        <sz val="10"/>
        <color theme="1"/>
        <rFont val="Times New Roman"/>
        <family val="1"/>
      </rPr>
      <t xml:space="preserve"> graph </t>
    </r>
    <r>
      <rPr>
        <sz val="10"/>
        <color theme="1"/>
        <rFont val="等线"/>
        <family val="1"/>
        <charset val="134"/>
      </rPr>
      <t>中</t>
    </r>
    <phoneticPr fontId="1" type="noConversion"/>
  </si>
  <si>
    <r>
      <rPr>
        <sz val="10"/>
        <color rgb="FF00B050"/>
        <rFont val="Times New Roman"/>
        <family val="1"/>
      </rPr>
      <t>Unmodeled class-construction bytecode</t>
    </r>
    <r>
      <rPr>
        <sz val="10"/>
        <color theme="1"/>
        <rFont val="Times New Roman"/>
        <family val="1"/>
      </rPr>
      <t xml:space="preserve"> forces graph break, interrupting compilation and altering expected full-graph execution.</t>
    </r>
    <phoneticPr fontId="1" type="noConversion"/>
  </si>
  <si>
    <r>
      <rPr>
        <i/>
        <sz val="10"/>
        <color theme="0" tint="-0.249977111117893"/>
        <rFont val="宋体"/>
        <family val="3"/>
        <charset val="134"/>
      </rPr>
      <t>问题并没有解决</t>
    </r>
    <r>
      <rPr>
        <i/>
        <sz val="10"/>
        <color theme="0" tint="-0.249977111117893"/>
        <rFont val="Times New Roman"/>
        <family val="1"/>
      </rPr>
      <t xml:space="preserve">, </t>
    </r>
    <r>
      <rPr>
        <i/>
        <sz val="10"/>
        <color theme="0" tint="-0.249977111117893"/>
        <rFont val="宋体"/>
        <family val="3"/>
        <charset val="134"/>
      </rPr>
      <t>和</t>
    </r>
    <r>
      <rPr>
        <i/>
        <sz val="10"/>
        <color theme="0" tint="-0.249977111117893"/>
        <rFont val="Times New Roman"/>
        <family val="1"/>
      </rPr>
      <t xml:space="preserve"> clear_autocast_cache </t>
    </r>
    <r>
      <rPr>
        <i/>
        <sz val="10"/>
        <color theme="0" tint="-0.249977111117893"/>
        <rFont val="宋体"/>
        <family val="3"/>
        <charset val="134"/>
      </rPr>
      <t>相关
评论区有人指出修改框架解决此问题很困难</t>
    </r>
    <r>
      <rPr>
        <i/>
        <sz val="10"/>
        <color theme="0" tint="-0.249977111117893"/>
        <rFont val="Times New Roman"/>
        <family val="1"/>
      </rPr>
      <t xml:space="preserve">, </t>
    </r>
    <r>
      <rPr>
        <i/>
        <sz val="10"/>
        <color theme="0" tint="-0.249977111117893"/>
        <rFont val="宋体"/>
        <family val="3"/>
        <charset val="134"/>
      </rPr>
      <t>推荐提出者修改模型暂时规避问题</t>
    </r>
    <phoneticPr fontId="1" type="noConversion"/>
  </si>
  <si>
    <r>
      <rPr>
        <i/>
        <sz val="10"/>
        <color theme="0" tint="-0.249977111117893"/>
        <rFont val="宋体"/>
        <family val="3"/>
        <charset val="134"/>
      </rPr>
      <t>开发者认为使用</t>
    </r>
    <r>
      <rPr>
        <i/>
        <sz val="10"/>
        <color theme="0" tint="-0.249977111117893"/>
        <rFont val="Times New Roman"/>
        <family val="1"/>
      </rPr>
      <t xml:space="preserve"> lru_cache </t>
    </r>
    <r>
      <rPr>
        <i/>
        <sz val="10"/>
        <color theme="0" tint="-0.249977111117893"/>
        <rFont val="宋体"/>
        <family val="3"/>
        <charset val="134"/>
      </rPr>
      <t>的函数</t>
    </r>
    <r>
      <rPr>
        <i/>
        <sz val="10"/>
        <color theme="0" tint="-0.249977111117893"/>
        <rFont val="Times New Roman"/>
        <family val="1"/>
      </rPr>
      <t xml:space="preserve"> </t>
    </r>
    <r>
      <rPr>
        <i/>
        <sz val="10"/>
        <color theme="0" tint="-0.249977111117893"/>
        <rFont val="宋体"/>
        <family val="3"/>
        <charset val="134"/>
      </rPr>
      <t>不适合</t>
    </r>
    <r>
      <rPr>
        <i/>
        <sz val="10"/>
        <color theme="0" tint="-0.249977111117893"/>
        <rFont val="Times New Roman"/>
        <family val="1"/>
      </rPr>
      <t xml:space="preserve"> </t>
    </r>
    <r>
      <rPr>
        <i/>
        <sz val="10"/>
        <color theme="0" tint="-0.249977111117893"/>
        <rFont val="宋体"/>
        <family val="3"/>
        <charset val="134"/>
      </rPr>
      <t>被</t>
    </r>
    <r>
      <rPr>
        <i/>
        <sz val="10"/>
        <color theme="0" tint="-0.249977111117893"/>
        <rFont val="Times New Roman"/>
        <family val="1"/>
      </rPr>
      <t xml:space="preserve"> torch.compile </t>
    </r>
    <r>
      <rPr>
        <i/>
        <sz val="10"/>
        <color theme="0" tint="-0.249977111117893"/>
        <rFont val="宋体"/>
        <family val="3"/>
        <charset val="134"/>
      </rPr>
      <t>编译或追踪</t>
    </r>
    <r>
      <rPr>
        <i/>
        <sz val="10"/>
        <color theme="0" tint="-0.249977111117893"/>
        <rFont val="Times New Roman"/>
        <family val="1"/>
      </rPr>
      <t xml:space="preserve">, </t>
    </r>
    <r>
      <rPr>
        <i/>
        <sz val="10"/>
        <color theme="0" tint="-0.249977111117893"/>
        <rFont val="宋体"/>
        <family val="3"/>
        <charset val="134"/>
      </rPr>
      <t>建议用户避免将带</t>
    </r>
    <r>
      <rPr>
        <i/>
        <sz val="10"/>
        <color theme="0" tint="-0.249977111117893"/>
        <rFont val="Times New Roman"/>
        <family val="1"/>
      </rPr>
      <t xml:space="preserve"> lru_cache </t>
    </r>
    <r>
      <rPr>
        <i/>
        <sz val="10"/>
        <color theme="0" tint="-0.249977111117893"/>
        <rFont val="宋体"/>
        <family val="3"/>
        <charset val="134"/>
      </rPr>
      <t>的函数置于</t>
    </r>
    <r>
      <rPr>
        <i/>
        <sz val="10"/>
        <color theme="0" tint="-0.249977111117893"/>
        <rFont val="Times New Roman"/>
        <family val="1"/>
      </rPr>
      <t xml:space="preserve"> Dynamo tracing </t>
    </r>
    <r>
      <rPr>
        <i/>
        <sz val="10"/>
        <color theme="0" tint="-0.249977111117893"/>
        <rFont val="宋体"/>
        <family val="3"/>
        <charset val="134"/>
      </rPr>
      <t>路径</t>
    </r>
    <phoneticPr fontId="1" type="noConversion"/>
  </si>
  <si>
    <r>
      <rPr>
        <sz val="10"/>
        <color rgb="FF00B050"/>
        <rFont val="Times New Roman"/>
        <family val="1"/>
      </rPr>
      <t>Higher-order iteration</t>
    </r>
    <r>
      <rPr>
        <sz val="10"/>
        <color theme="1"/>
        <rFont val="Times New Roman"/>
        <family val="1"/>
      </rPr>
      <t xml:space="preserve"> using</t>
    </r>
    <r>
      <rPr>
        <sz val="10"/>
        <color rgb="FF00B050"/>
        <rFont val="Times New Roman"/>
        <family val="1"/>
      </rPr>
      <t xml:space="preserve"> lazy iterable</t>
    </r>
    <r>
      <rPr>
        <sz val="10"/>
        <color theme="1"/>
        <rFont val="Times New Roman"/>
        <family val="1"/>
      </rPr>
      <t xml:space="preserve"> isn't modeled in bytecode interpreter, causing graph break during compilation.</t>
    </r>
    <phoneticPr fontId="1" type="noConversion"/>
  </si>
  <si>
    <r>
      <t xml:space="preserve">Full-graph capture lacks modeling for </t>
    </r>
    <r>
      <rPr>
        <sz val="10"/>
        <color rgb="FF00B050"/>
        <rFont val="Times New Roman"/>
        <family val="1"/>
      </rPr>
      <t>subclass method dispatch</t>
    </r>
    <r>
      <rPr>
        <sz val="10"/>
        <color theme="1"/>
        <rFont val="Times New Roman"/>
        <family val="1"/>
      </rPr>
      <t>, causing compilation to abort.</t>
    </r>
    <phoneticPr fontId="1" type="noConversion"/>
  </si>
  <si>
    <r>
      <rPr>
        <sz val="10"/>
        <color rgb="FF00B050"/>
        <rFont val="Times New Roman"/>
        <family val="1"/>
      </rPr>
      <t>Attribute existence checks</t>
    </r>
    <r>
      <rPr>
        <sz val="10"/>
        <color theme="1"/>
        <rFont val="Times New Roman"/>
        <family val="1"/>
      </rPr>
      <t xml:space="preserve"> on tensors aren’t modeled, causing Unsupported during symbolic bytecode execution and compilation failure.</t>
    </r>
    <phoneticPr fontId="1" type="noConversion"/>
  </si>
  <si>
    <r>
      <t xml:space="preserve">Dynamo lacks modeling for </t>
    </r>
    <r>
      <rPr>
        <sz val="10"/>
        <color rgb="FF00B050"/>
        <rFont val="Times New Roman"/>
        <family val="1"/>
      </rPr>
      <t>object identity queries</t>
    </r>
    <r>
      <rPr>
        <sz val="10"/>
        <color theme="1"/>
        <rFont val="Times New Roman"/>
        <family val="1"/>
      </rPr>
      <t>, so conditional control-flow cannot be compiled and compilation aborts.</t>
    </r>
    <phoneticPr fontId="1" type="noConversion"/>
  </si>
  <si>
    <r>
      <t xml:space="preserve">Dynamo lacks modeling for </t>
    </r>
    <r>
      <rPr>
        <sz val="10"/>
        <color rgb="FF00B050"/>
        <rFont val="Times New Roman"/>
        <family val="1"/>
      </rPr>
      <t>built-in conversion on custom objects</t>
    </r>
    <r>
      <rPr>
        <sz val="10"/>
        <color theme="1"/>
        <rFont val="Times New Roman"/>
        <family val="1"/>
      </rPr>
      <t>, marking it unsupported and aborting compilation.</t>
    </r>
    <phoneticPr fontId="1" type="noConversion"/>
  </si>
  <si>
    <r>
      <t xml:space="preserve">Symbolic interpreter cannot model </t>
    </r>
    <r>
      <rPr>
        <sz val="10"/>
        <color rgb="FF00B050"/>
        <rFont val="Times New Roman"/>
        <family val="1"/>
      </rPr>
      <t>mapping subclass construction</t>
    </r>
    <r>
      <rPr>
        <sz val="10"/>
        <color theme="1"/>
        <rFont val="Times New Roman"/>
        <family val="1"/>
      </rPr>
      <t xml:space="preserve"> and </t>
    </r>
    <r>
      <rPr>
        <sz val="10"/>
        <color rgb="FF00B050"/>
        <rFont val="Times New Roman"/>
        <family val="1"/>
      </rPr>
      <t>implicit entry creation</t>
    </r>
    <r>
      <rPr>
        <sz val="10"/>
        <color theme="1"/>
        <rFont val="Times New Roman"/>
        <family val="1"/>
      </rPr>
      <t>, leading to an unsupported call and abort.</t>
    </r>
    <phoneticPr fontId="1" type="noConversion"/>
  </si>
  <si>
    <r>
      <t xml:space="preserve">Unmodeled </t>
    </r>
    <r>
      <rPr>
        <sz val="10"/>
        <color rgb="FF00B050"/>
        <rFont val="Times New Roman"/>
        <family val="1"/>
      </rPr>
      <t>container method</t>
    </r>
    <r>
      <rPr>
        <sz val="10"/>
        <color theme="1"/>
        <rFont val="Times New Roman"/>
        <family val="1"/>
      </rPr>
      <t xml:space="preserve"> in symbolic execution causes compilation failure.</t>
    </r>
    <phoneticPr fontId="1" type="noConversion"/>
  </si>
  <si>
    <r>
      <t>__hash__</t>
    </r>
    <r>
      <rPr>
        <sz val="11"/>
        <color theme="1"/>
        <rFont val="宋体"/>
        <family val="2"/>
        <scheme val="minor"/>
      </rPr>
      <t xml:space="preserve"> 访问了尚未建立的属性</t>
    </r>
  </si>
  <si>
    <r>
      <t xml:space="preserve">Tracing a delegated constructor triggers </t>
    </r>
    <r>
      <rPr>
        <sz val="10"/>
        <color rgb="FF00B050"/>
        <rFont val="Times New Roman"/>
        <family val="1"/>
      </rPr>
      <t>hash on a partially initialized instance</t>
    </r>
    <r>
      <rPr>
        <sz val="10"/>
        <color theme="1"/>
        <rFont val="Times New Roman"/>
        <family val="1"/>
      </rPr>
      <t>, causing premature attribute access and failure.</t>
    </r>
    <phoneticPr fontId="1" type="noConversion"/>
  </si>
  <si>
    <r>
      <t xml:space="preserve">Mis-modeled static shape for </t>
    </r>
    <r>
      <rPr>
        <sz val="10"/>
        <color rgb="FF00B050"/>
        <rFont val="Times New Roman"/>
        <family val="1"/>
      </rPr>
      <t>recurrent outputs</t>
    </r>
    <r>
      <rPr>
        <sz val="10"/>
        <color theme="1"/>
        <rFont val="Times New Roman"/>
        <family val="1"/>
      </rPr>
      <t xml:space="preserve"> inserts a singleton dimension, so constant-folded shape reads diverge from eager.</t>
    </r>
    <phoneticPr fontId="1" type="noConversion"/>
  </si>
  <si>
    <r>
      <rPr>
        <sz val="10"/>
        <color rgb="FF00B050"/>
        <rFont val="Times New Roman"/>
        <family val="1"/>
      </rPr>
      <t>Scalar extraction</t>
    </r>
    <r>
      <rPr>
        <sz val="10"/>
        <color theme="1"/>
        <rFont val="Times New Roman"/>
        <family val="1"/>
      </rPr>
      <t xml:space="preserve"> from tracked values isn't modeled; full-graph mode forbids breaks, leading to a compilation exception.</t>
    </r>
    <phoneticPr fontId="1" type="noConversion"/>
  </si>
  <si>
    <r>
      <rPr>
        <sz val="10"/>
        <color theme="1"/>
        <rFont val="等线"/>
        <family val="1"/>
        <charset val="134"/>
      </rPr>
      <t>将“被追踪的</t>
    </r>
    <r>
      <rPr>
        <sz val="10"/>
        <color theme="1"/>
        <rFont val="Times New Roman"/>
        <family val="1"/>
      </rPr>
      <t xml:space="preserve"> graph value</t>
    </r>
    <r>
      <rPr>
        <sz val="10"/>
        <color theme="1"/>
        <rFont val="等线"/>
        <family val="1"/>
        <charset val="134"/>
      </rPr>
      <t>（符号值）”强制转换为</t>
    </r>
    <r>
      <rPr>
        <sz val="10"/>
        <color theme="1"/>
        <rFont val="Times New Roman"/>
        <family val="1"/>
      </rPr>
      <t xml:space="preserve"> Python </t>
    </r>
    <r>
      <rPr>
        <sz val="10"/>
        <color theme="1"/>
        <rFont val="等线"/>
        <family val="1"/>
        <charset val="134"/>
      </rPr>
      <t>标量时，</t>
    </r>
    <r>
      <rPr>
        <sz val="10"/>
        <color theme="1"/>
        <rFont val="Times New Roman"/>
        <family val="1"/>
      </rPr>
      <t xml:space="preserve">Dynamo </t>
    </r>
    <r>
      <rPr>
        <sz val="10"/>
        <color theme="1"/>
        <rFont val="等线"/>
        <family val="1"/>
        <charset val="134"/>
      </rPr>
      <t>并未对这种标量化（</t>
    </r>
    <r>
      <rPr>
        <sz val="10"/>
        <color theme="1"/>
        <rFont val="Times New Roman"/>
        <family val="1"/>
      </rPr>
      <t>scalar extraction</t>
    </r>
    <r>
      <rPr>
        <sz val="10"/>
        <color theme="1"/>
        <rFont val="等线"/>
        <family val="1"/>
        <charset val="134"/>
      </rPr>
      <t>）操作进行建模</t>
    </r>
    <phoneticPr fontId="1" type="noConversion"/>
  </si>
  <si>
    <r>
      <rPr>
        <i/>
        <sz val="10"/>
        <color theme="0" tint="-0.249977111117893"/>
        <rFont val="宋体"/>
        <family val="3"/>
        <charset val="134"/>
      </rPr>
      <t>不是对应的</t>
    </r>
    <r>
      <rPr>
        <i/>
        <sz val="10"/>
        <color theme="0" tint="-0.249977111117893"/>
        <rFont val="Times New Roman"/>
        <family val="1"/>
      </rPr>
      <t xml:space="preserve">PR
</t>
    </r>
    <r>
      <rPr>
        <i/>
        <sz val="10"/>
        <color theme="0" tint="-0.249977111117893"/>
        <rFont val="宋体"/>
        <family val="3"/>
        <charset val="134"/>
      </rPr>
      <t>和</t>
    </r>
    <r>
      <rPr>
        <i/>
        <sz val="10"/>
        <color theme="0" tint="-0.249977111117893"/>
        <rFont val="Times New Roman"/>
        <family val="1"/>
      </rPr>
      <t xml:space="preserve"> #121621 </t>
    </r>
    <r>
      <rPr>
        <i/>
        <sz val="10"/>
        <color theme="0" tint="-0.249977111117893"/>
        <rFont val="宋体"/>
        <family val="3"/>
        <charset val="134"/>
      </rPr>
      <t>本质是同一个问题</t>
    </r>
    <r>
      <rPr>
        <i/>
        <sz val="10"/>
        <color theme="0" tint="-0.249977111117893"/>
        <rFont val="Times New Roman"/>
        <family val="1"/>
      </rPr>
      <t xml:space="preserve">, </t>
    </r>
    <r>
      <rPr>
        <i/>
        <sz val="10"/>
        <color theme="0" tint="-0.249977111117893"/>
        <rFont val="宋体"/>
        <family val="3"/>
        <charset val="134"/>
      </rPr>
      <t xml:space="preserve">是后续追踪修改
</t>
    </r>
    <r>
      <rPr>
        <i/>
        <sz val="10"/>
        <color theme="0" tint="-0.249977111117893"/>
        <rFont val="Times New Roman"/>
        <family val="1"/>
      </rPr>
      <t xml:space="preserve">Issue #151432 </t>
    </r>
    <r>
      <rPr>
        <i/>
        <sz val="10"/>
        <color theme="0" tint="-0.249977111117893"/>
        <rFont val="宋体"/>
        <family val="3"/>
        <charset val="134"/>
      </rPr>
      <t>和这两个问题也是相似问题</t>
    </r>
    <phoneticPr fontId="1" type="noConversion"/>
  </si>
  <si>
    <r>
      <rPr>
        <sz val="10"/>
        <color rgb="FF00B050"/>
        <rFont val="Times New Roman"/>
        <family val="1"/>
      </rPr>
      <t>Nested user function variable</t>
    </r>
    <r>
      <rPr>
        <sz val="10"/>
        <color theme="1"/>
        <rFont val="Times New Roman"/>
        <family val="1"/>
      </rPr>
      <t xml:space="preserve"> lacks type info; argument validation expects python_type, causing compilation error during graph input creation.</t>
    </r>
    <phoneticPr fontId="1" type="noConversion"/>
  </si>
  <si>
    <r>
      <rPr>
        <sz val="10"/>
        <color rgb="FF00B050"/>
        <rFont val="Times New Roman"/>
        <family val="1"/>
      </rPr>
      <t>Python scalar argument</t>
    </r>
    <r>
      <rPr>
        <sz val="10"/>
        <color theme="1"/>
        <rFont val="Times New Roman"/>
        <family val="1"/>
      </rPr>
      <t xml:space="preserve"> triggers ref decomposition that accesses nonexistent shape attribute.</t>
    </r>
    <phoneticPr fontId="1" type="noConversion"/>
  </si>
  <si>
    <r>
      <rPr>
        <sz val="10"/>
        <color theme="1"/>
        <rFont val="等线"/>
        <family val="1"/>
        <charset val="134"/>
      </rPr>
      <t>将一个“嵌套定义的用户函数（</t>
    </r>
    <r>
      <rPr>
        <sz val="10"/>
        <color theme="1"/>
        <rFont val="Times New Roman"/>
        <family val="1"/>
      </rPr>
      <t>nested function</t>
    </r>
    <r>
      <rPr>
        <sz val="10"/>
        <color theme="1"/>
        <rFont val="等线"/>
        <family val="1"/>
        <charset val="134"/>
      </rPr>
      <t>）”作为参数传递给高阶调用（</t>
    </r>
    <r>
      <rPr>
        <sz val="10"/>
        <color theme="1"/>
        <rFont val="Times New Roman"/>
        <family val="1"/>
      </rPr>
      <t>higher-order call</t>
    </r>
    <r>
      <rPr>
        <sz val="10"/>
        <color theme="1"/>
        <rFont val="等线"/>
        <family val="1"/>
        <charset val="134"/>
      </rPr>
      <t>，例如</t>
    </r>
    <r>
      <rPr>
        <sz val="10"/>
        <color theme="1"/>
        <rFont val="Times New Roman"/>
        <family val="1"/>
      </rPr>
      <t xml:space="preserve"> map</t>
    </r>
    <r>
      <rPr>
        <sz val="10"/>
        <color theme="1"/>
        <rFont val="等线"/>
        <family val="1"/>
        <charset val="134"/>
      </rPr>
      <t>、</t>
    </r>
    <r>
      <rPr>
        <sz val="10"/>
        <color theme="1"/>
        <rFont val="Times New Roman"/>
        <family val="1"/>
      </rPr>
      <t>apply</t>
    </r>
    <r>
      <rPr>
        <sz val="10"/>
        <color theme="1"/>
        <rFont val="等线"/>
        <family val="1"/>
        <charset val="134"/>
      </rPr>
      <t>、自定义函数式</t>
    </r>
    <r>
      <rPr>
        <sz val="10"/>
        <color theme="1"/>
        <rFont val="Times New Roman"/>
        <family val="1"/>
      </rPr>
      <t xml:space="preserve"> API</t>
    </r>
    <r>
      <rPr>
        <sz val="10"/>
        <color theme="1"/>
        <rFont val="等线"/>
        <family val="1"/>
        <charset val="134"/>
      </rPr>
      <t>）时，</t>
    </r>
    <r>
      <rPr>
        <sz val="10"/>
        <color theme="1"/>
        <rFont val="Times New Roman"/>
        <family val="1"/>
      </rPr>
      <t xml:space="preserve">Dynamo </t>
    </r>
    <r>
      <rPr>
        <sz val="10"/>
        <color theme="1"/>
        <rFont val="等线"/>
        <family val="1"/>
        <charset val="134"/>
      </rPr>
      <t>对该函数变量的类型信息建模不完整</t>
    </r>
    <phoneticPr fontId="1" type="noConversion"/>
  </si>
  <si>
    <r>
      <rPr>
        <sz val="10"/>
        <color theme="1"/>
        <rFont val="等线"/>
        <family val="1"/>
        <charset val="134"/>
      </rPr>
      <t>将</t>
    </r>
    <r>
      <rPr>
        <sz val="10"/>
        <color theme="1"/>
        <rFont val="Times New Roman"/>
        <family val="1"/>
      </rPr>
      <t xml:space="preserve"> Python </t>
    </r>
    <r>
      <rPr>
        <sz val="10"/>
        <color theme="1"/>
        <rFont val="等线"/>
        <family val="1"/>
        <charset val="134"/>
      </rPr>
      <t>标量（如</t>
    </r>
    <r>
      <rPr>
        <sz val="10"/>
        <color theme="1"/>
        <rFont val="Times New Roman"/>
        <family val="1"/>
      </rPr>
      <t xml:space="preserve"> int / float</t>
    </r>
    <r>
      <rPr>
        <sz val="10"/>
        <color theme="1"/>
        <rFont val="等线"/>
        <family val="1"/>
        <charset val="134"/>
      </rPr>
      <t>）作为参数传给某个算子（</t>
    </r>
    <r>
      <rPr>
        <sz val="10"/>
        <color theme="1"/>
        <rFont val="Times New Roman"/>
        <family val="1"/>
      </rPr>
      <t>operator</t>
    </r>
    <r>
      <rPr>
        <sz val="10"/>
        <color theme="1"/>
        <rFont val="等线"/>
        <family val="1"/>
        <charset val="134"/>
      </rPr>
      <t>）时，</t>
    </r>
    <r>
      <rPr>
        <sz val="10"/>
        <color theme="1"/>
        <rFont val="Times New Roman"/>
        <family val="1"/>
      </rPr>
      <t xml:space="preserve">Dynamo </t>
    </r>
    <r>
      <rPr>
        <sz val="10"/>
        <color theme="1"/>
        <rFont val="等线"/>
        <family val="1"/>
        <charset val="134"/>
      </rPr>
      <t>在对该算子进行参考分解（</t>
    </r>
    <r>
      <rPr>
        <sz val="10"/>
        <color theme="1"/>
        <rFont val="Times New Roman"/>
        <family val="1"/>
      </rPr>
      <t>reference decomposition / ref decomposition</t>
    </r>
    <r>
      <rPr>
        <sz val="10"/>
        <color theme="1"/>
        <rFont val="等线"/>
        <family val="1"/>
        <charset val="134"/>
      </rPr>
      <t>）过程中错误地将该标量当作</t>
    </r>
    <r>
      <rPr>
        <sz val="10"/>
        <color theme="1"/>
        <rFont val="Times New Roman"/>
        <family val="1"/>
      </rPr>
      <t xml:space="preserve"> tensor-like </t>
    </r>
    <r>
      <rPr>
        <sz val="10"/>
        <color theme="1"/>
        <rFont val="等线"/>
        <family val="1"/>
        <charset val="134"/>
      </rPr>
      <t>对象处理，进而访问了并不存在的</t>
    </r>
    <r>
      <rPr>
        <sz val="10"/>
        <color theme="1"/>
        <rFont val="Times New Roman"/>
        <family val="1"/>
      </rPr>
      <t xml:space="preserve"> shape </t>
    </r>
    <r>
      <rPr>
        <sz val="10"/>
        <color theme="1"/>
        <rFont val="等线"/>
        <family val="1"/>
        <charset val="134"/>
      </rPr>
      <t>属性</t>
    </r>
    <r>
      <rPr>
        <sz val="10"/>
        <color theme="1"/>
        <rFont val="Times New Roman"/>
        <family val="1"/>
        <charset val="134"/>
      </rPr>
      <t xml:space="preserve">
Reference decomposition = </t>
    </r>
    <r>
      <rPr>
        <sz val="10"/>
        <color theme="1"/>
        <rFont val="等线"/>
        <family val="1"/>
        <charset val="134"/>
      </rPr>
      <t>将高层算子调用拆解成可追踪、可符号执行的基础元素，同时为每个参数和返回值建立内部引用（</t>
    </r>
    <r>
      <rPr>
        <sz val="10"/>
        <color theme="1"/>
        <rFont val="Times New Roman"/>
        <family val="1"/>
        <charset val="134"/>
      </rPr>
      <t>reference</t>
    </r>
    <r>
      <rPr>
        <sz val="10"/>
        <color theme="1"/>
        <rFont val="等线"/>
        <family val="1"/>
        <charset val="134"/>
      </rPr>
      <t>）信息的过程</t>
    </r>
    <phoneticPr fontId="1" type="noConversion"/>
  </si>
  <si>
    <r>
      <rPr>
        <sz val="10"/>
        <color rgb="FF00B050"/>
        <rFont val="Times New Roman"/>
        <family val="1"/>
      </rPr>
      <t>Built-in attribute checks on tensors in backward</t>
    </r>
    <r>
      <rPr>
        <sz val="10"/>
        <color theme="1"/>
        <rFont val="Times New Roman"/>
        <family val="1"/>
      </rPr>
      <t xml:space="preserve"> aren't modeled, causing compilation failure.</t>
    </r>
    <phoneticPr fontId="1" type="noConversion"/>
  </si>
  <si>
    <r>
      <t xml:space="preserve">Dynamo lacks modeling for </t>
    </r>
    <r>
      <rPr>
        <sz val="10"/>
        <color rgb="FF00B050"/>
        <rFont val="Times New Roman"/>
        <family val="1"/>
      </rPr>
      <t>attribute tests on generic Python modules</t>
    </r>
    <r>
      <rPr>
        <sz val="10"/>
        <color theme="1"/>
        <rFont val="Times New Roman"/>
        <family val="1"/>
      </rPr>
      <t>, raising Unsupported during bytecode tracing and aborting compilation.</t>
    </r>
    <phoneticPr fontId="1" type="noConversion"/>
  </si>
  <si>
    <r>
      <rPr>
        <sz val="10"/>
        <color rgb="FF00B050"/>
        <rFont val="Times New Roman"/>
        <family val="1"/>
      </rPr>
      <t>Absent attribute access</t>
    </r>
    <r>
      <rPr>
        <sz val="10"/>
        <color theme="1"/>
        <rFont val="Times New Roman"/>
        <family val="1"/>
      </rPr>
      <t xml:space="preserve"> fails to raise, breaking </t>
    </r>
    <r>
      <rPr>
        <sz val="10"/>
        <color rgb="FF00B050"/>
        <rFont val="Times New Roman"/>
        <family val="1"/>
      </rPr>
      <t>try/except control flow</t>
    </r>
    <r>
      <rPr>
        <sz val="10"/>
        <color theme="1"/>
        <rFont val="Times New Roman"/>
        <family val="1"/>
      </rPr>
      <t xml:space="preserve"> under compilation and altering computed constants.</t>
    </r>
    <phoneticPr fontId="1" type="noConversion"/>
  </si>
  <si>
    <r>
      <t xml:space="preserve">Strict tracing disallows </t>
    </r>
    <r>
      <rPr>
        <sz val="10"/>
        <color rgb="FF00B050"/>
        <rFont val="Times New Roman"/>
        <family val="1"/>
      </rPr>
      <t>reading object gradient-state attributes</t>
    </r>
    <r>
      <rPr>
        <sz val="10"/>
        <color theme="1"/>
        <rFont val="Times New Roman"/>
        <family val="1"/>
      </rPr>
      <t xml:space="preserve"> in nested callbacks, causing compilation to abort.</t>
    </r>
    <phoneticPr fontId="1" type="noConversion"/>
  </si>
  <si>
    <r>
      <rPr>
        <sz val="10"/>
        <color theme="1"/>
        <rFont val="等线"/>
        <family val="1"/>
        <charset val="134"/>
      </rPr>
      <t>普通</t>
    </r>
    <r>
      <rPr>
        <sz val="10"/>
        <color theme="1"/>
        <rFont val="Times New Roman"/>
        <family val="1"/>
      </rPr>
      <t xml:space="preserve"> Python module </t>
    </r>
    <r>
      <rPr>
        <sz val="10"/>
        <color theme="1"/>
        <rFont val="等线"/>
        <family val="1"/>
        <charset val="134"/>
      </rPr>
      <t>指的是</t>
    </r>
    <r>
      <rPr>
        <sz val="10"/>
        <color theme="1"/>
        <rFont val="Times New Roman"/>
        <family val="1"/>
      </rPr>
      <t xml:space="preserve"> Python </t>
    </r>
    <r>
      <rPr>
        <sz val="10"/>
        <color theme="1"/>
        <rFont val="等线"/>
        <family val="1"/>
        <charset val="134"/>
      </rPr>
      <t>自身的标准模块或用户自定义模块，而不是</t>
    </r>
    <r>
      <rPr>
        <sz val="10"/>
        <color theme="1"/>
        <rFont val="Times New Roman"/>
        <family val="1"/>
      </rPr>
      <t xml:space="preserve"> PyTorch </t>
    </r>
    <r>
      <rPr>
        <sz val="10"/>
        <color theme="1"/>
        <rFont val="等线"/>
        <family val="1"/>
        <charset val="134"/>
      </rPr>
      <t>专门为</t>
    </r>
    <r>
      <rPr>
        <sz val="10"/>
        <color theme="1"/>
        <rFont val="Times New Roman"/>
        <family val="1"/>
      </rPr>
      <t xml:space="preserve"> Dynamo </t>
    </r>
    <r>
      <rPr>
        <sz val="10"/>
        <color theme="1"/>
        <rFont val="等线"/>
        <family val="1"/>
        <charset val="134"/>
      </rPr>
      <t>提供内部建模的对象</t>
    </r>
    <phoneticPr fontId="1" type="noConversion"/>
  </si>
  <si>
    <r>
      <rPr>
        <sz val="10"/>
        <color rgb="FF00B050"/>
        <rFont val="Times New Roman"/>
        <family val="1"/>
      </rPr>
      <t>Metaclass-based mapping class instantiation</t>
    </r>
    <r>
      <rPr>
        <sz val="10"/>
        <color theme="1"/>
        <rFont val="Times New Roman"/>
        <family val="1"/>
      </rPr>
      <t xml:space="preserve"> unsupported in Dynamo's call modeling, causing an Unsupported exception during compilation.</t>
    </r>
    <phoneticPr fontId="1" type="noConversion"/>
  </si>
  <si>
    <t>manual categorize</t>
    <phoneticPr fontId="1" type="noConversion"/>
  </si>
  <si>
    <t>iterator</t>
    <phoneticPr fontId="1" type="noConversion"/>
  </si>
  <si>
    <t>boolean/truthiness</t>
    <phoneticPr fontId="1" type="noConversion"/>
  </si>
  <si>
    <t>unsupported op</t>
    <phoneticPr fontId="1" type="noConversion"/>
  </si>
  <si>
    <t>non-tensor</t>
  </si>
  <si>
    <r>
      <rPr>
        <sz val="10"/>
        <color rgb="FF00B050"/>
        <rFont val="Times New Roman"/>
        <family val="1"/>
      </rPr>
      <t>Exception-raising container mutation</t>
    </r>
    <r>
      <rPr>
        <sz val="10"/>
        <color theme="1"/>
        <rFont val="Times New Roman"/>
        <family val="1"/>
      </rPr>
      <t xml:space="preserve"> isn't modeled, causing graph breaks and failure under fullgraph compilation.</t>
    </r>
    <phoneticPr fontId="1" type="noConversion"/>
  </si>
  <si>
    <r>
      <rPr>
        <sz val="10"/>
        <color rgb="FF00B050"/>
        <rFont val="Times New Roman"/>
        <family val="1"/>
      </rPr>
      <t>Unmodeled builtin invocation</t>
    </r>
    <r>
      <rPr>
        <sz val="10"/>
        <color theme="1"/>
        <rFont val="Times New Roman"/>
        <family val="1"/>
      </rPr>
      <t xml:space="preserve"> forces graph break, worsening performance in compiled class initialization.</t>
    </r>
    <phoneticPr fontId="1" type="noConversion"/>
  </si>
  <si>
    <r>
      <rPr>
        <sz val="10"/>
        <color rgb="FF00B050"/>
        <rFont val="Times New Roman"/>
        <family val="1"/>
      </rPr>
      <t>Attribute presence checks on tensors</t>
    </r>
    <r>
      <rPr>
        <sz val="10"/>
        <color theme="1"/>
        <rFont val="Times New Roman"/>
        <family val="1"/>
      </rPr>
      <t xml:space="preserve"> are unsupported in bytecode modeling, causing an exception during tracing rather than graph break.</t>
    </r>
    <phoneticPr fontId="1" type="noConversion"/>
  </si>
  <si>
    <r>
      <rPr>
        <sz val="10"/>
        <color theme="1"/>
        <rFont val="等线"/>
        <family val="1"/>
        <charset val="134"/>
      </rPr>
      <t>在迭代</t>
    </r>
    <r>
      <rPr>
        <sz val="10"/>
        <color theme="1"/>
        <rFont val="Times New Roman"/>
        <family val="1"/>
      </rPr>
      <t xml:space="preserve"> generator </t>
    </r>
    <r>
      <rPr>
        <sz val="10"/>
        <color theme="1"/>
        <rFont val="等线"/>
        <family val="1"/>
        <charset val="134"/>
      </rPr>
      <t>时修改（</t>
    </r>
    <r>
      <rPr>
        <sz val="10"/>
        <color theme="1"/>
        <rFont val="Times New Roman"/>
        <family val="1"/>
      </rPr>
      <t>mutate</t>
    </r>
    <r>
      <rPr>
        <sz val="10"/>
        <color theme="1"/>
        <rFont val="等线"/>
        <family val="1"/>
        <charset val="134"/>
      </rPr>
      <t>）被迭代的容器（如</t>
    </r>
    <r>
      <rPr>
        <sz val="10"/>
        <color theme="1"/>
        <rFont val="Times New Roman"/>
        <family val="1"/>
      </rPr>
      <t xml:space="preserve"> list </t>
    </r>
    <r>
      <rPr>
        <sz val="10"/>
        <color theme="1"/>
        <rFont val="等线"/>
        <family val="1"/>
        <charset val="134"/>
      </rPr>
      <t>或</t>
    </r>
    <r>
      <rPr>
        <sz val="10"/>
        <color theme="1"/>
        <rFont val="Times New Roman"/>
        <family val="1"/>
      </rPr>
      <t xml:space="preserve"> dict</t>
    </r>
    <r>
      <rPr>
        <sz val="10"/>
        <color theme="1"/>
        <rFont val="等线"/>
        <family val="1"/>
        <charset val="134"/>
      </rPr>
      <t>）时，</t>
    </r>
    <r>
      <rPr>
        <sz val="10"/>
        <color theme="1"/>
        <rFont val="Times New Roman"/>
        <family val="1"/>
      </rPr>
      <t xml:space="preserve">Dynamo </t>
    </r>
    <r>
      <rPr>
        <sz val="10"/>
        <color theme="1"/>
        <rFont val="等线"/>
        <family val="1"/>
        <charset val="134"/>
      </rPr>
      <t>对</t>
    </r>
    <r>
      <rPr>
        <sz val="10"/>
        <color theme="1"/>
        <rFont val="Times New Roman"/>
        <family val="1"/>
      </rPr>
      <t xml:space="preserve"> generator </t>
    </r>
    <r>
      <rPr>
        <sz val="10"/>
        <color theme="1"/>
        <rFont val="等线"/>
        <family val="1"/>
        <charset val="134"/>
      </rPr>
      <t>的求值顺序建模不正确，导致</t>
    </r>
    <r>
      <rPr>
        <sz val="10"/>
        <color theme="1"/>
        <rFont val="Times New Roman"/>
        <family val="1"/>
      </rPr>
      <t xml:space="preserve"> interleaved </t>
    </r>
    <r>
      <rPr>
        <sz val="10"/>
        <color theme="1"/>
        <rFont val="等线"/>
        <family val="1"/>
        <charset val="134"/>
      </rPr>
      <t>容器更新被忽略</t>
    </r>
    <phoneticPr fontId="1" type="noConversion"/>
  </si>
  <si>
    <t>non-tensor</t>
    <phoneticPr fontId="1" type="noConversion"/>
  </si>
  <si>
    <t>container</t>
  </si>
  <si>
    <r>
      <rPr>
        <sz val="10"/>
        <color rgb="FF00B050"/>
        <rFont val="Times New Roman"/>
        <family val="1"/>
      </rPr>
      <t>Module-level autograd callbacks</t>
    </r>
    <r>
      <rPr>
        <sz val="10"/>
        <color theme="1"/>
        <rFont val="Times New Roman"/>
        <family val="1"/>
      </rPr>
      <t xml:space="preserve"> trigger unsupported method modeling in Dynamo, causing graph breaks and exceptions without compiled autograd support.</t>
    </r>
    <phoneticPr fontId="1" type="noConversion"/>
  </si>
  <si>
    <r>
      <rPr>
        <sz val="10"/>
        <color theme="1"/>
        <rFont val="等线"/>
        <family val="1"/>
        <charset val="134"/>
      </rPr>
      <t>用户在全局映射（</t>
    </r>
    <r>
      <rPr>
        <sz val="10"/>
        <color theme="1"/>
        <rFont val="Times New Roman"/>
        <family val="1"/>
      </rPr>
      <t>global map</t>
    </r>
    <r>
      <rPr>
        <sz val="10"/>
        <color theme="1"/>
        <rFont val="等线"/>
        <family val="1"/>
        <charset val="134"/>
      </rPr>
      <t>）中以不可序列化的值（如</t>
    </r>
    <r>
      <rPr>
        <sz val="10"/>
        <color theme="1"/>
        <rFont val="Times New Roman"/>
        <family val="1"/>
      </rPr>
      <t xml:space="preserve"> tensor </t>
    </r>
    <r>
      <rPr>
        <sz val="10"/>
        <color theme="1"/>
        <rFont val="等线"/>
        <family val="1"/>
        <charset val="134"/>
      </rPr>
      <t>的</t>
    </r>
    <r>
      <rPr>
        <sz val="10"/>
        <color theme="1"/>
        <rFont val="Times New Roman"/>
        <family val="1"/>
      </rPr>
      <t xml:space="preserve"> shape</t>
    </r>
    <r>
      <rPr>
        <sz val="10"/>
        <color theme="1"/>
        <rFont val="等线"/>
        <family val="1"/>
        <charset val="134"/>
      </rPr>
      <t>、列表、对象等）作为</t>
    </r>
    <r>
      <rPr>
        <sz val="10"/>
        <color theme="1"/>
        <rFont val="Times New Roman"/>
        <family val="1"/>
      </rPr>
      <t xml:space="preserve"> key </t>
    </r>
    <r>
      <rPr>
        <sz val="10"/>
        <color theme="1"/>
        <rFont val="等线"/>
        <family val="1"/>
        <charset val="134"/>
      </rPr>
      <t>进行</t>
    </r>
    <r>
      <rPr>
        <sz val="10"/>
        <color theme="1"/>
        <rFont val="Times New Roman"/>
        <family val="1"/>
      </rPr>
      <t xml:space="preserve"> mutation</t>
    </r>
    <r>
      <rPr>
        <sz val="10"/>
        <color theme="1"/>
        <rFont val="等线"/>
        <family val="1"/>
        <charset val="134"/>
      </rPr>
      <t>（插入</t>
    </r>
    <r>
      <rPr>
        <sz val="10"/>
        <color theme="1"/>
        <rFont val="Times New Roman"/>
        <family val="1"/>
      </rPr>
      <t>/</t>
    </r>
    <r>
      <rPr>
        <sz val="10"/>
        <color theme="1"/>
        <rFont val="等线"/>
        <family val="1"/>
        <charset val="134"/>
      </rPr>
      <t>更新）时，</t>
    </r>
    <r>
      <rPr>
        <sz val="10"/>
        <color theme="1"/>
        <rFont val="Times New Roman"/>
        <family val="1"/>
      </rPr>
      <t xml:space="preserve">Dynamo </t>
    </r>
    <r>
      <rPr>
        <sz val="10"/>
        <color theme="1"/>
        <rFont val="等线"/>
        <family val="1"/>
        <charset val="134"/>
      </rPr>
      <t>在内部缓存或图生成过程中尝试对</t>
    </r>
    <r>
      <rPr>
        <sz val="10"/>
        <color theme="1"/>
        <rFont val="Times New Roman"/>
        <family val="1"/>
      </rPr>
      <t xml:space="preserve"> key </t>
    </r>
    <r>
      <rPr>
        <sz val="10"/>
        <color theme="1"/>
        <rFont val="等线"/>
        <family val="1"/>
        <charset val="134"/>
      </rPr>
      <t>进行序列化，遇到不可序列化对象导致断言失败（</t>
    </r>
    <r>
      <rPr>
        <sz val="10"/>
        <color theme="1"/>
        <rFont val="Times New Roman"/>
        <family val="1"/>
      </rPr>
      <t>crash</t>
    </r>
    <r>
      <rPr>
        <sz val="10"/>
        <color theme="1"/>
        <rFont val="等线"/>
        <family val="1"/>
        <charset val="134"/>
      </rPr>
      <t>）</t>
    </r>
    <phoneticPr fontId="1" type="noConversion"/>
  </si>
  <si>
    <r>
      <t xml:space="preserve">Caching by shape hits unsupported constant handling; Dynamo cannot </t>
    </r>
    <r>
      <rPr>
        <sz val="10"/>
        <color rgb="FF00B050"/>
        <rFont val="Times New Roman"/>
        <family val="1"/>
      </rPr>
      <t>serialize shape keys</t>
    </r>
    <r>
      <rPr>
        <sz val="10"/>
        <color theme="1"/>
        <rFont val="Times New Roman"/>
        <family val="1"/>
      </rPr>
      <t>, causing assertion during code generation.</t>
    </r>
    <phoneticPr fontId="1" type="noConversion"/>
  </si>
  <si>
    <t>container</t>
    <phoneticPr fontId="1" type="noConversion"/>
  </si>
  <si>
    <r>
      <rPr>
        <sz val="10"/>
        <color theme="1"/>
        <rFont val="等线"/>
        <family val="1"/>
        <charset val="134"/>
      </rPr>
      <t>当用户通过</t>
    </r>
    <r>
      <rPr>
        <sz val="10"/>
        <color theme="1"/>
        <rFont val="Times New Roman"/>
        <family val="1"/>
      </rPr>
      <t xml:space="preserve"> higher-order transform</t>
    </r>
    <r>
      <rPr>
        <sz val="10"/>
        <color theme="1"/>
        <rFont val="等线"/>
        <family val="1"/>
        <charset val="134"/>
      </rPr>
      <t>（如</t>
    </r>
    <r>
      <rPr>
        <sz val="10"/>
        <color theme="1"/>
        <rFont val="Times New Roman"/>
        <family val="1"/>
      </rPr>
      <t xml:space="preserve"> vmap</t>
    </r>
    <r>
      <rPr>
        <sz val="10"/>
        <color theme="1"/>
        <rFont val="等线"/>
        <family val="1"/>
        <charset val="134"/>
      </rPr>
      <t>、</t>
    </r>
    <r>
      <rPr>
        <sz val="10"/>
        <color theme="1"/>
        <rFont val="Times New Roman"/>
        <family val="1"/>
      </rPr>
      <t xml:space="preserve">grad </t>
    </r>
    <r>
      <rPr>
        <sz val="10"/>
        <color theme="1"/>
        <rFont val="等线"/>
        <family val="1"/>
        <charset val="134"/>
      </rPr>
      <t>等高阶函数变换）调用类的</t>
    </r>
    <r>
      <rPr>
        <sz val="10"/>
        <color theme="1"/>
        <rFont val="Times New Roman"/>
        <family val="1"/>
      </rPr>
      <t xml:space="preserve"> @staticmethod </t>
    </r>
    <r>
      <rPr>
        <sz val="10"/>
        <color theme="1"/>
        <rFont val="等线"/>
        <family val="1"/>
        <charset val="134"/>
      </rPr>
      <t>时，</t>
    </r>
    <r>
      <rPr>
        <sz val="10"/>
        <color theme="1"/>
        <rFont val="Times New Roman"/>
        <family val="1"/>
      </rPr>
      <t xml:space="preserve">Dynamo </t>
    </r>
    <r>
      <rPr>
        <sz val="10"/>
        <color theme="1"/>
        <rFont val="等线"/>
        <family val="1"/>
        <charset val="134"/>
      </rPr>
      <t>对静态方法进行了错误的绑定，将其当作实例方法处理，意外添加了一个类</t>
    </r>
    <r>
      <rPr>
        <sz val="10"/>
        <color theme="1"/>
        <rFont val="Times New Roman"/>
        <family val="1"/>
      </rPr>
      <t>/</t>
    </r>
    <r>
      <rPr>
        <sz val="10"/>
        <color theme="1"/>
        <rFont val="等线"/>
        <family val="1"/>
        <charset val="134"/>
      </rPr>
      <t>实例参数，导致函数参数数量（</t>
    </r>
    <r>
      <rPr>
        <sz val="10"/>
        <color theme="1"/>
        <rFont val="Times New Roman"/>
        <family val="1"/>
      </rPr>
      <t>arity</t>
    </r>
    <r>
      <rPr>
        <sz val="10"/>
        <color theme="1"/>
        <rFont val="等线"/>
        <family val="1"/>
        <charset val="134"/>
      </rPr>
      <t>）不匹配</t>
    </r>
    <phoneticPr fontId="1" type="noConversion"/>
  </si>
  <si>
    <r>
      <rPr>
        <sz val="10"/>
        <color rgb="FF00B050"/>
        <rFont val="Times New Roman"/>
        <family val="1"/>
      </rPr>
      <t>Staticmethod is misbound as a bound method</t>
    </r>
    <r>
      <rPr>
        <sz val="10"/>
        <color theme="1"/>
        <rFont val="Times New Roman"/>
        <family val="1"/>
      </rPr>
      <t xml:space="preserve"> under higher-order transforms, adding a spurious class argument and causing arity errors.</t>
    </r>
    <phoneticPr fontId="1" type="noConversion"/>
  </si>
  <si>
    <r>
      <rPr>
        <sz val="10"/>
        <color theme="1"/>
        <rFont val="等线"/>
        <family val="1"/>
        <charset val="134"/>
      </rPr>
      <t>当用户对</t>
    </r>
    <r>
      <rPr>
        <sz val="10"/>
        <color theme="1"/>
        <rFont val="Times New Roman"/>
        <family val="1"/>
      </rPr>
      <t xml:space="preserve"> tuple-like </t>
    </r>
    <r>
      <rPr>
        <sz val="10"/>
        <color theme="1"/>
        <rFont val="等线"/>
        <family val="1"/>
        <charset val="134"/>
      </rPr>
      <t>类型（例如继承自</t>
    </r>
    <r>
      <rPr>
        <sz val="10"/>
        <color theme="1"/>
        <rFont val="Times New Roman"/>
        <family val="1"/>
      </rPr>
      <t xml:space="preserve"> tuple </t>
    </r>
    <r>
      <rPr>
        <sz val="10"/>
        <color theme="1"/>
        <rFont val="等线"/>
        <family val="1"/>
        <charset val="134"/>
      </rPr>
      <t>的子类）重载（</t>
    </r>
    <r>
      <rPr>
        <sz val="10"/>
        <color theme="1"/>
        <rFont val="Times New Roman"/>
        <family val="1"/>
      </rPr>
      <t>override</t>
    </r>
    <r>
      <rPr>
        <sz val="10"/>
        <color theme="1"/>
        <rFont val="等线"/>
        <family val="1"/>
        <charset val="134"/>
      </rPr>
      <t>）算子方法（如</t>
    </r>
    <r>
      <rPr>
        <sz val="10"/>
        <color theme="1"/>
        <rFont val="Times New Roman"/>
        <family val="1"/>
      </rPr>
      <t xml:space="preserve"> __add__, __getitem__ </t>
    </r>
    <r>
      <rPr>
        <sz val="10"/>
        <color theme="1"/>
        <rFont val="等线"/>
        <family val="1"/>
        <charset val="134"/>
      </rPr>
      <t>等）时，</t>
    </r>
    <r>
      <rPr>
        <sz val="10"/>
        <color theme="1"/>
        <rFont val="Times New Roman"/>
        <family val="1"/>
      </rPr>
      <t xml:space="preserve">Dynamo </t>
    </r>
    <r>
      <rPr>
        <sz val="10"/>
        <color theme="1"/>
        <rFont val="等线"/>
        <family val="1"/>
        <charset val="134"/>
      </rPr>
      <t>在符号追踪或</t>
    </r>
    <r>
      <rPr>
        <sz val="10"/>
        <color theme="1"/>
        <rFont val="Times New Roman"/>
        <family val="1"/>
      </rPr>
      <t xml:space="preserve"> graph </t>
    </r>
    <r>
      <rPr>
        <sz val="10"/>
        <color theme="1"/>
        <rFont val="等线"/>
        <family val="1"/>
        <charset val="134"/>
      </rPr>
      <t>构建过程中简化了</t>
    </r>
    <r>
      <rPr>
        <sz val="10"/>
        <color theme="1"/>
        <rFont val="Times New Roman"/>
        <family val="1"/>
      </rPr>
      <t xml:space="preserve"> operator dispatch</t>
    </r>
    <r>
      <rPr>
        <sz val="10"/>
        <color theme="1"/>
        <rFont val="等线"/>
        <family val="1"/>
        <charset val="134"/>
      </rPr>
      <t>，将其当作内置</t>
    </r>
    <r>
      <rPr>
        <sz val="10"/>
        <color theme="1"/>
        <rFont val="Times New Roman"/>
        <family val="1"/>
      </rPr>
      <t xml:space="preserve"> tuple </t>
    </r>
    <r>
      <rPr>
        <sz val="10"/>
        <color theme="1"/>
        <rFont val="等线"/>
        <family val="1"/>
        <charset val="134"/>
      </rPr>
      <t>处理，忽略了用户重载的方法</t>
    </r>
    <phoneticPr fontId="1" type="noConversion"/>
  </si>
  <si>
    <r>
      <t xml:space="preserve">Operator dispatch for </t>
    </r>
    <r>
      <rPr>
        <sz val="10"/>
        <color rgb="FF00B050"/>
        <rFont val="Times New Roman"/>
        <family val="1"/>
      </rPr>
      <t>user-defined tuple-like objects</t>
    </r>
    <r>
      <rPr>
        <sz val="10"/>
        <color theme="1"/>
        <rFont val="Times New Roman"/>
        <family val="1"/>
      </rPr>
      <t xml:space="preserve"> is simplified to built-in tuple semantics during compilation, ignoring </t>
    </r>
    <r>
      <rPr>
        <sz val="10"/>
        <color rgb="FF00B050"/>
        <rFont val="Times New Roman"/>
        <family val="1"/>
      </rPr>
      <t>overridden methods</t>
    </r>
    <r>
      <rPr>
        <sz val="10"/>
        <color theme="1"/>
        <rFont val="Times New Roman"/>
        <family val="1"/>
      </rPr>
      <t>.</t>
    </r>
    <phoneticPr fontId="1" type="noConversion"/>
  </si>
  <si>
    <r>
      <rPr>
        <sz val="10"/>
        <color rgb="FF00B050"/>
        <rFont val="Times New Roman"/>
        <family val="1"/>
      </rPr>
      <t>Reflective container reconstruction</t>
    </r>
    <r>
      <rPr>
        <sz val="10"/>
        <color theme="1"/>
        <rFont val="Times New Roman"/>
        <family val="1"/>
      </rPr>
      <t xml:space="preserve"> confuses bytecode modeling; unsupported class access produces graph break and abort under fullgraph.</t>
    </r>
    <phoneticPr fontId="1" type="noConversion"/>
  </si>
  <si>
    <r>
      <rPr>
        <sz val="10"/>
        <color theme="1"/>
        <rFont val="等线"/>
        <family val="1"/>
        <charset val="134"/>
      </rPr>
      <t>访问类上使用</t>
    </r>
    <r>
      <rPr>
        <sz val="10"/>
        <color theme="1"/>
        <rFont val="Times New Roman"/>
        <family val="1"/>
      </rPr>
      <t xml:space="preserve"> @property </t>
    </r>
    <r>
      <rPr>
        <sz val="10"/>
        <color theme="1"/>
        <rFont val="等线"/>
        <family val="1"/>
        <charset val="134"/>
      </rPr>
      <t>装饰器定义的属性时，</t>
    </r>
    <r>
      <rPr>
        <sz val="10"/>
        <color theme="1"/>
        <rFont val="Times New Roman"/>
        <family val="1"/>
      </rPr>
      <t xml:space="preserve">Dynamo </t>
    </r>
    <r>
      <rPr>
        <sz val="10"/>
        <color theme="1"/>
        <rFont val="等线"/>
        <family val="1"/>
        <charset val="134"/>
      </rPr>
      <t>在处理</t>
    </r>
    <r>
      <rPr>
        <sz val="10"/>
        <color theme="1"/>
        <rFont val="Times New Roman"/>
        <family val="1"/>
      </rPr>
      <t xml:space="preserve"> LOAD_ATTR </t>
    </r>
    <r>
      <rPr>
        <sz val="10"/>
        <color theme="1"/>
        <rFont val="等线"/>
        <family val="1"/>
        <charset val="134"/>
      </rPr>
      <t>字节码时错误地将该属性当作方法（</t>
    </r>
    <r>
      <rPr>
        <sz val="10"/>
        <color theme="1"/>
        <rFont val="Times New Roman"/>
        <family val="1"/>
      </rPr>
      <t>bound method</t>
    </r>
    <r>
      <rPr>
        <sz val="10"/>
        <color theme="1"/>
        <rFont val="等线"/>
        <family val="1"/>
        <charset val="134"/>
      </rPr>
      <t>）处理</t>
    </r>
    <phoneticPr fontId="1" type="noConversion"/>
  </si>
  <si>
    <r>
      <t xml:space="preserve">Descriptor-backed class </t>
    </r>
    <r>
      <rPr>
        <sz val="10"/>
        <color rgb="FF00B050"/>
        <rFont val="Times New Roman"/>
        <family val="1"/>
      </rPr>
      <t>attribute treated as method</t>
    </r>
    <r>
      <rPr>
        <sz val="10"/>
        <color theme="1"/>
        <rFont val="Times New Roman"/>
        <family val="1"/>
      </rPr>
      <t xml:space="preserve"> during LOAD_ATTR, triggering assertion in TorchDynamo symbolic execution.</t>
    </r>
    <phoneticPr fontId="1" type="noConversion"/>
  </si>
  <si>
    <t>class attribute/method</t>
  </si>
  <si>
    <t>-</t>
    <phoneticPr fontId="1" type="noConversion"/>
  </si>
  <si>
    <r>
      <t>Compiler fails to model</t>
    </r>
    <r>
      <rPr>
        <sz val="10"/>
        <color rgb="FF00B050"/>
        <rFont val="Times New Roman"/>
        <family val="1"/>
      </rPr>
      <t xml:space="preserve"> attribute-presence checks</t>
    </r>
    <r>
      <rPr>
        <sz val="10"/>
        <color theme="1"/>
        <rFont val="Times New Roman"/>
        <family val="1"/>
      </rPr>
      <t xml:space="preserve"> on tracked objects, causing an unsupported error during symbolic execution.</t>
    </r>
    <phoneticPr fontId="1" type="noConversion"/>
  </si>
  <si>
    <r>
      <t xml:space="preserve">Dynamo mishandles </t>
    </r>
    <r>
      <rPr>
        <sz val="10"/>
        <color rgb="FF00B050"/>
        <rFont val="Times New Roman"/>
        <family val="1"/>
      </rPr>
      <t>dict attribute retrieval</t>
    </r>
    <r>
      <rPr>
        <sz val="10"/>
        <color theme="1"/>
        <rFont val="Times New Roman"/>
        <family val="1"/>
      </rPr>
      <t>, wrapping returned dict as constant and asserting during compilation.</t>
    </r>
    <phoneticPr fontId="1" type="noConversion"/>
  </si>
  <si>
    <r>
      <rPr>
        <sz val="10"/>
        <color rgb="FF00B050"/>
        <rFont val="Times New Roman"/>
        <family val="1"/>
      </rPr>
      <t>Descriptor property</t>
    </r>
    <r>
      <rPr>
        <sz val="10"/>
        <color theme="1"/>
        <rFont val="Times New Roman"/>
        <family val="1"/>
      </rPr>
      <t xml:space="preserve"> semantics are mis-modeled; inlining binds incorrect arguments, causing an argument mismatch during compilation.</t>
    </r>
    <phoneticPr fontId="1" type="noConversion"/>
  </si>
  <si>
    <r>
      <rPr>
        <sz val="10"/>
        <color theme="1"/>
        <rFont val="等线"/>
        <family val="1"/>
        <charset val="134"/>
      </rPr>
      <t>对象的构造函数（</t>
    </r>
    <r>
      <rPr>
        <sz val="10"/>
        <color theme="1"/>
        <rFont val="Times New Roman"/>
        <family val="1"/>
      </rPr>
      <t>__init__</t>
    </r>
    <r>
      <rPr>
        <sz val="10"/>
        <color theme="1"/>
        <rFont val="等线"/>
        <family val="1"/>
        <charset val="134"/>
      </rPr>
      <t>）存在副作用或触发</t>
    </r>
    <r>
      <rPr>
        <sz val="10"/>
        <color theme="1"/>
        <rFont val="Times New Roman"/>
        <family val="1"/>
      </rPr>
      <t xml:space="preserve"> warning</t>
    </r>
    <phoneticPr fontId="1" type="noConversion"/>
  </si>
  <si>
    <r>
      <rPr>
        <sz val="10"/>
        <color rgb="FF00B050"/>
        <rFont val="Times New Roman"/>
        <family val="1"/>
      </rPr>
      <t>Constructor warning</t>
    </r>
    <r>
      <rPr>
        <sz val="10"/>
        <color theme="1"/>
        <rFont val="Times New Roman"/>
        <family val="1"/>
      </rPr>
      <t xml:space="preserve"> triggers graph break; resume mis-models object and reads missing attribute, causing crash.</t>
    </r>
    <phoneticPr fontId="1" type="noConversion"/>
  </si>
  <si>
    <r>
      <rPr>
        <i/>
        <sz val="10"/>
        <color theme="0" tint="-0.249977111117893"/>
        <rFont val="宋体"/>
        <family val="3"/>
        <charset val="134"/>
      </rPr>
      <t>通过修改配置信息避免问题</t>
    </r>
    <r>
      <rPr>
        <i/>
        <sz val="10"/>
        <color theme="0" tint="-0.249977111117893"/>
        <rFont val="Times New Roman"/>
        <family val="1"/>
      </rPr>
      <t xml:space="preserve">, </t>
    </r>
    <r>
      <rPr>
        <i/>
        <sz val="10"/>
        <color theme="0" tint="-0.249977111117893"/>
        <rFont val="宋体"/>
        <family val="3"/>
        <charset val="134"/>
      </rPr>
      <t>可认为是用户使用不当</t>
    </r>
    <phoneticPr fontId="1" type="noConversion"/>
  </si>
  <si>
    <r>
      <rPr>
        <sz val="10"/>
        <color theme="1"/>
        <rFont val="等线"/>
        <family val="1"/>
        <charset val="134"/>
      </rPr>
      <t>当用户使用继承自容器（</t>
    </r>
    <r>
      <rPr>
        <sz val="10"/>
        <color theme="1"/>
        <rFont val="Times New Roman"/>
        <family val="1"/>
      </rPr>
      <t>container</t>
    </r>
    <r>
      <rPr>
        <sz val="10"/>
        <color theme="1"/>
        <rFont val="等线"/>
        <family val="1"/>
        <charset val="134"/>
      </rPr>
      <t>）的自定义对象替代</t>
    </r>
    <r>
      <rPr>
        <sz val="10"/>
        <color theme="1"/>
        <rFont val="Times New Roman"/>
        <family val="1"/>
      </rPr>
      <t xml:space="preserve"> PyTorch Module </t>
    </r>
    <r>
      <rPr>
        <sz val="10"/>
        <color theme="1"/>
        <rFont val="等线"/>
        <family val="1"/>
        <charset val="134"/>
      </rPr>
      <t>的参数字典（如</t>
    </r>
    <r>
      <rPr>
        <sz val="10"/>
        <color theme="1"/>
        <rFont val="Times New Roman"/>
        <family val="1"/>
      </rPr>
      <t xml:space="preserve"> nn.Module </t>
    </r>
    <r>
      <rPr>
        <sz val="10"/>
        <color theme="1"/>
        <rFont val="等线"/>
        <family val="1"/>
        <charset val="134"/>
      </rPr>
      <t>的</t>
    </r>
    <r>
      <rPr>
        <sz val="10"/>
        <color theme="1"/>
        <rFont val="Times New Roman"/>
        <family val="1"/>
      </rPr>
      <t xml:space="preserve"> parameters() </t>
    </r>
    <r>
      <rPr>
        <sz val="10"/>
        <color theme="1"/>
        <rFont val="等线"/>
        <family val="1"/>
        <charset val="134"/>
      </rPr>
      <t>或</t>
    </r>
    <r>
      <rPr>
        <sz val="10"/>
        <color theme="1"/>
        <rFont val="Times New Roman"/>
        <family val="1"/>
      </rPr>
      <t xml:space="preserve"> _parameters </t>
    </r>
    <r>
      <rPr>
        <sz val="10"/>
        <color theme="1"/>
        <rFont val="等线"/>
        <family val="1"/>
        <charset val="134"/>
      </rPr>
      <t>映射）时，</t>
    </r>
    <r>
      <rPr>
        <sz val="10"/>
        <color theme="1"/>
        <rFont val="Times New Roman"/>
        <family val="1"/>
      </rPr>
      <t xml:space="preserve">Dynamo </t>
    </r>
    <r>
      <rPr>
        <sz val="10"/>
        <color theme="1"/>
        <rFont val="等线"/>
        <family val="1"/>
        <charset val="134"/>
      </rPr>
      <t>未将自定义容器建模为常量，导致属性解析触发</t>
    </r>
    <r>
      <rPr>
        <sz val="10"/>
        <color theme="1"/>
        <rFont val="Times New Roman"/>
        <family val="1"/>
      </rPr>
      <t xml:space="preserve"> graph break</t>
    </r>
    <phoneticPr fontId="1" type="noConversion"/>
  </si>
  <si>
    <r>
      <rPr>
        <sz val="10"/>
        <color rgb="FF00B050"/>
        <rFont val="Times New Roman"/>
        <family val="1"/>
      </rPr>
      <t>Custom parameter container</t>
    </r>
    <r>
      <rPr>
        <sz val="10"/>
        <color theme="1"/>
        <rFont val="Times New Roman"/>
        <family val="1"/>
      </rPr>
      <t xml:space="preserve"> isn’t modeled as constant, causing attribute resolution to graph-break and prevent compilation.</t>
    </r>
    <phoneticPr fontId="1" type="noConversion"/>
  </si>
  <si>
    <r>
      <rPr>
        <sz val="10"/>
        <color rgb="FFFF0000"/>
        <rFont val="Times New Roman"/>
        <family val="1"/>
      </rPr>
      <t>Inlining a returned closure with captured variables</t>
    </r>
    <r>
      <rPr>
        <sz val="10"/>
        <color theme="1"/>
        <rFont val="Times New Roman"/>
        <family val="1"/>
      </rPr>
      <t xml:space="preserve"> mismanages translator hierarchy, causing attribute access failure during compilation.</t>
    </r>
    <phoneticPr fontId="1" type="noConversion"/>
  </si>
  <si>
    <r>
      <t xml:space="preserve">Read-only closure inlining omits cell reconstruction, causing assertion when the captured environment </t>
    </r>
    <r>
      <rPr>
        <sz val="10"/>
        <color rgb="FFFF0000"/>
        <rFont val="Times New Roman"/>
        <family val="1"/>
      </rPr>
      <t>escapes the compiled region</t>
    </r>
    <r>
      <rPr>
        <sz val="10"/>
        <color theme="1"/>
        <rFont val="Times New Roman"/>
        <family val="1"/>
      </rPr>
      <t>.</t>
    </r>
    <phoneticPr fontId="1" type="noConversion"/>
  </si>
  <si>
    <r>
      <t xml:space="preserve">Method copied between instances produces __self__ mismatch that Dynamo's </t>
    </r>
    <r>
      <rPr>
        <sz val="10"/>
        <color rgb="FF00B050"/>
        <rFont val="Times New Roman"/>
        <family val="1"/>
      </rPr>
      <t>bound-method modeling</t>
    </r>
    <r>
      <rPr>
        <sz val="10"/>
        <color theme="1"/>
        <rFont val="Times New Roman"/>
        <family val="1"/>
      </rPr>
      <t xml:space="preserve"> can't handle, causing compilation failure.</t>
    </r>
    <phoneticPr fontId="1" type="noConversion"/>
  </si>
  <si>
    <t>class attribute/method</t>
    <phoneticPr fontId="1" type="noConversion"/>
  </si>
  <si>
    <r>
      <rPr>
        <sz val="10"/>
        <color rgb="FF00B050"/>
        <rFont val="Times New Roman"/>
        <family val="1"/>
      </rPr>
      <t>Custom mapping for module parameters</t>
    </r>
    <r>
      <rPr>
        <sz val="10"/>
        <color theme="1"/>
        <rFont val="Times New Roman"/>
        <family val="1"/>
      </rPr>
      <t xml:space="preserve"> is modeled as a MutableMappingVariable lacking method access, causing an attribute error during compilation.</t>
    </r>
    <phoneticPr fontId="1" type="noConversion"/>
  </si>
  <si>
    <r>
      <t xml:space="preserve">Mis-modeled </t>
    </r>
    <r>
      <rPr>
        <sz val="10"/>
        <color rgb="FF00B050"/>
        <rFont val="Times New Roman"/>
        <family val="1"/>
      </rPr>
      <t>type string</t>
    </r>
    <r>
      <rPr>
        <sz val="10"/>
        <color theme="1"/>
        <rFont val="Times New Roman"/>
        <family val="1"/>
      </rPr>
      <t xml:space="preserve"> for nonstandard devices causes wrong branch selection under compilation.</t>
    </r>
    <phoneticPr fontId="1" type="noConversion"/>
  </si>
  <si>
    <r>
      <rPr>
        <sz val="10"/>
        <color rgb="FF00B050"/>
        <rFont val="Times New Roman"/>
        <family val="1"/>
      </rPr>
      <t>Dynamic attribute access</t>
    </r>
    <r>
      <rPr>
        <sz val="10"/>
        <color theme="1"/>
        <rFont val="Times New Roman"/>
        <family val="1"/>
      </rPr>
      <t xml:space="preserve"> cannot be symbolically modeled, forcing graph breaks that error under fullgraph compilation.</t>
    </r>
    <phoneticPr fontId="1" type="noConversion"/>
  </si>
  <si>
    <r>
      <t xml:space="preserve">Compilation mis-models list arguments for </t>
    </r>
    <r>
      <rPr>
        <sz val="10"/>
        <color rgb="FF00B050"/>
        <rFont val="Times New Roman"/>
        <family val="1"/>
      </rPr>
      <t>vectorized in-place op</t>
    </r>
    <r>
      <rPr>
        <sz val="10"/>
        <color theme="1"/>
        <rFont val="Times New Roman"/>
        <family val="1"/>
      </rPr>
      <t>, causing FakeTensor dispatch to access attributes on lists.</t>
    </r>
    <phoneticPr fontId="1" type="noConversion"/>
  </si>
  <si>
    <r>
      <rPr>
        <sz val="10"/>
        <color theme="1"/>
        <rFont val="等线"/>
        <family val="1"/>
        <charset val="134"/>
      </rPr>
      <t>将一个包含多个</t>
    </r>
    <r>
      <rPr>
        <sz val="10"/>
        <color theme="1"/>
        <rFont val="Times New Roman"/>
        <family val="1"/>
      </rPr>
      <t xml:space="preserve"> tensor </t>
    </r>
    <r>
      <rPr>
        <sz val="10"/>
        <color theme="1"/>
        <rFont val="等线"/>
        <family val="1"/>
        <charset val="134"/>
      </rPr>
      <t>的容器（如</t>
    </r>
    <r>
      <rPr>
        <sz val="10"/>
        <color theme="1"/>
        <rFont val="Times New Roman"/>
        <family val="1"/>
      </rPr>
      <t xml:space="preserve"> list/tuple</t>
    </r>
    <r>
      <rPr>
        <sz val="10"/>
        <color theme="1"/>
        <rFont val="等线"/>
        <family val="1"/>
        <charset val="134"/>
      </rPr>
      <t>）传递给一个原地（</t>
    </r>
    <r>
      <rPr>
        <sz val="10"/>
        <color theme="1"/>
        <rFont val="Times New Roman"/>
        <family val="1"/>
      </rPr>
      <t>in-place</t>
    </r>
    <r>
      <rPr>
        <sz val="10"/>
        <color theme="1"/>
        <rFont val="等线"/>
        <family val="1"/>
        <charset val="134"/>
      </rPr>
      <t>）操作时，</t>
    </r>
    <r>
      <rPr>
        <sz val="10"/>
        <color theme="1"/>
        <rFont val="Times New Roman"/>
        <family val="1"/>
      </rPr>
      <t xml:space="preserve">Dynamo </t>
    </r>
    <r>
      <rPr>
        <sz val="10"/>
        <color theme="1"/>
        <rFont val="等线"/>
        <family val="1"/>
        <charset val="134"/>
      </rPr>
      <t>对容器参数的建模不正确，导致</t>
    </r>
    <r>
      <rPr>
        <sz val="10"/>
        <color theme="1"/>
        <rFont val="Times New Roman"/>
        <family val="1"/>
      </rPr>
      <t xml:space="preserve"> FakeTensor </t>
    </r>
    <r>
      <rPr>
        <sz val="10"/>
        <color theme="1"/>
        <rFont val="等线"/>
        <family val="1"/>
        <charset val="134"/>
      </rPr>
      <t>在执行</t>
    </r>
    <r>
      <rPr>
        <sz val="10"/>
        <color theme="1"/>
        <rFont val="Times New Roman"/>
        <family val="1"/>
      </rPr>
      <t xml:space="preserve"> dispatch </t>
    </r>
    <r>
      <rPr>
        <sz val="10"/>
        <color theme="1"/>
        <rFont val="等线"/>
        <family val="1"/>
        <charset val="134"/>
      </rPr>
      <t>时尝试访问</t>
    </r>
    <r>
      <rPr>
        <sz val="10"/>
        <color theme="1"/>
        <rFont val="Times New Roman"/>
        <family val="1"/>
      </rPr>
      <t xml:space="preserve"> Python </t>
    </r>
    <r>
      <rPr>
        <sz val="10"/>
        <color theme="1"/>
        <rFont val="等线"/>
        <family val="1"/>
        <charset val="134"/>
      </rPr>
      <t>容器的属性</t>
    </r>
    <r>
      <rPr>
        <sz val="10"/>
        <color theme="1"/>
        <rFont val="Times New Roman"/>
        <family val="1"/>
        <charset val="134"/>
      </rPr>
      <t xml:space="preserve">
(FakeTensor </t>
    </r>
    <r>
      <rPr>
        <sz val="10"/>
        <color theme="1"/>
        <rFont val="等线"/>
        <family val="1"/>
        <charset val="134"/>
      </rPr>
      <t xml:space="preserve">只能支持 </t>
    </r>
    <r>
      <rPr>
        <sz val="10"/>
        <color theme="1"/>
        <rFont val="Times New Roman"/>
        <family val="1"/>
      </rPr>
      <t xml:space="preserve">tensor-like </t>
    </r>
    <r>
      <rPr>
        <sz val="10"/>
        <color theme="1"/>
        <rFont val="等线"/>
        <family val="1"/>
        <charset val="134"/>
      </rPr>
      <t>操作（</t>
    </r>
    <r>
      <rPr>
        <sz val="10"/>
        <color theme="1"/>
        <rFont val="Times New Roman"/>
        <family val="1"/>
      </rPr>
      <t xml:space="preserve">add, mul, reshape </t>
    </r>
    <r>
      <rPr>
        <sz val="10"/>
        <color theme="1"/>
        <rFont val="等线"/>
        <family val="1"/>
        <charset val="134"/>
      </rPr>
      <t>等）和查询</t>
    </r>
    <r>
      <rPr>
        <sz val="10"/>
        <color theme="1"/>
        <rFont val="Times New Roman"/>
        <family val="1"/>
      </rPr>
      <t xml:space="preserve"> tensor </t>
    </r>
    <r>
      <rPr>
        <sz val="10"/>
        <color theme="1"/>
        <rFont val="等线"/>
        <family val="1"/>
        <charset val="134"/>
      </rPr>
      <t>属性（</t>
    </r>
    <r>
      <rPr>
        <sz val="10"/>
        <color theme="1"/>
        <rFont val="Times New Roman"/>
        <family val="1"/>
      </rPr>
      <t xml:space="preserve">shape, dtype, device </t>
    </r>
    <r>
      <rPr>
        <sz val="10"/>
        <color theme="1"/>
        <rFont val="等线"/>
        <family val="1"/>
        <charset val="134"/>
      </rPr>
      <t>等）</t>
    </r>
    <r>
      <rPr>
        <sz val="10"/>
        <color theme="1"/>
        <rFont val="Times New Roman"/>
        <family val="1"/>
        <charset val="134"/>
      </rPr>
      <t>)</t>
    </r>
    <phoneticPr fontId="1" type="noConversion"/>
  </si>
  <si>
    <r>
      <rPr>
        <sz val="10"/>
        <color rgb="FF00B050"/>
        <rFont val="Times New Roman"/>
        <family val="1"/>
      </rPr>
      <t>Module method name shadowed by attribute</t>
    </r>
    <r>
      <rPr>
        <sz val="10"/>
        <color theme="1"/>
        <rFont val="Times New Roman"/>
        <family val="1"/>
      </rPr>
      <t xml:space="preserve"> breaks Dynamo's module introspection, causing a callable assumption to throw during graph construction.</t>
    </r>
    <phoneticPr fontId="1" type="noConversion"/>
  </si>
  <si>
    <r>
      <t xml:space="preserve">Introspection of a </t>
    </r>
    <r>
      <rPr>
        <sz val="10"/>
        <color rgb="FF00B050"/>
        <rFont val="Times New Roman"/>
        <family val="1"/>
      </rPr>
      <t>partially bound callable</t>
    </r>
    <r>
      <rPr>
        <sz val="10"/>
        <color theme="1"/>
        <rFont val="Times New Roman"/>
        <family val="1"/>
      </rPr>
      <t xml:space="preserve"> fails when </t>
    </r>
    <r>
      <rPr>
        <sz val="10"/>
        <color rgb="FF00B050"/>
        <rFont val="Times New Roman"/>
        <family val="1"/>
      </rPr>
      <t>bound value isn't constant</t>
    </r>
    <r>
      <rPr>
        <sz val="10"/>
        <color theme="1"/>
        <rFont val="Times New Roman"/>
        <family val="1"/>
      </rPr>
      <t>, breaking Dynamo's bytecode modeling.</t>
    </r>
    <phoneticPr fontId="1" type="noConversion"/>
  </si>
  <si>
    <r>
      <t xml:space="preserve">PR </t>
    </r>
    <r>
      <rPr>
        <i/>
        <sz val="10"/>
        <color theme="0" tint="-0.249977111117893"/>
        <rFont val="宋体"/>
        <family val="3"/>
        <charset val="134"/>
      </rPr>
      <t>修改的都是</t>
    </r>
    <r>
      <rPr>
        <i/>
        <sz val="10"/>
        <color theme="0" tint="-0.249977111117893"/>
        <rFont val="Times New Roman"/>
        <family val="1"/>
      </rPr>
      <t xml:space="preserve"> Inductor </t>
    </r>
    <r>
      <rPr>
        <i/>
        <sz val="10"/>
        <color theme="0" tint="-0.249977111117893"/>
        <rFont val="宋体"/>
        <family val="3"/>
        <charset val="134"/>
      </rPr>
      <t>部分</t>
    </r>
    <r>
      <rPr>
        <i/>
        <sz val="10"/>
        <color theme="0" tint="-0.249977111117893"/>
        <rFont val="Times New Roman"/>
        <family val="1"/>
      </rPr>
      <t xml:space="preserve">, </t>
    </r>
    <r>
      <rPr>
        <i/>
        <sz val="10"/>
        <color theme="0" tint="-0.249977111117893"/>
        <rFont val="宋体"/>
        <family val="3"/>
        <charset val="134"/>
      </rPr>
      <t>此</t>
    </r>
    <r>
      <rPr>
        <i/>
        <sz val="10"/>
        <color theme="0" tint="-0.249977111117893"/>
        <rFont val="Times New Roman"/>
        <family val="1"/>
      </rPr>
      <t xml:space="preserve"> issue </t>
    </r>
    <r>
      <rPr>
        <i/>
        <sz val="10"/>
        <color theme="0" tint="-0.249977111117893"/>
        <rFont val="宋体"/>
        <family val="3"/>
        <charset val="134"/>
      </rPr>
      <t>可能和</t>
    </r>
    <r>
      <rPr>
        <i/>
        <sz val="10"/>
        <color theme="0" tint="-0.249977111117893"/>
        <rFont val="Times New Roman"/>
        <family val="1"/>
      </rPr>
      <t xml:space="preserve"> dynamo </t>
    </r>
    <r>
      <rPr>
        <i/>
        <sz val="10"/>
        <color theme="0" tint="-0.249977111117893"/>
        <rFont val="宋体"/>
        <family val="3"/>
        <charset val="134"/>
      </rPr>
      <t xml:space="preserve">关系不大
</t>
    </r>
    <r>
      <rPr>
        <i/>
        <sz val="10"/>
        <color theme="0" tint="-0.249977111117893"/>
        <rFont val="Times New Roman"/>
        <family val="1"/>
      </rPr>
      <t>torch/_inductor/graph.py
torch/_inductor/ir.py
torch/_inductor/lowering.py</t>
    </r>
    <phoneticPr fontId="1" type="noConversion"/>
  </si>
  <si>
    <r>
      <rPr>
        <sz val="10"/>
        <color theme="1"/>
        <rFont val="等线"/>
        <family val="1"/>
        <charset val="134"/>
      </rPr>
      <t>用户定义的类同时继承自</t>
    </r>
    <r>
      <rPr>
        <sz val="10"/>
        <color theme="1"/>
        <rFont val="Times New Roman"/>
        <family val="1"/>
      </rPr>
      <t xml:space="preserve"> nn.Module </t>
    </r>
    <r>
      <rPr>
        <sz val="10"/>
        <color theme="1"/>
        <rFont val="等线"/>
        <family val="1"/>
        <charset val="134"/>
      </rPr>
      <t>和某种映射类型（</t>
    </r>
    <r>
      <rPr>
        <sz val="10"/>
        <color theme="1"/>
        <rFont val="Times New Roman"/>
        <family val="1"/>
      </rPr>
      <t>dict-like</t>
    </r>
    <r>
      <rPr>
        <sz val="10"/>
        <color theme="1"/>
        <rFont val="等线"/>
        <family val="1"/>
        <charset val="134"/>
      </rPr>
      <t>）时，</t>
    </r>
    <r>
      <rPr>
        <sz val="10"/>
        <color theme="1"/>
        <rFont val="Times New Roman"/>
        <family val="1"/>
      </rPr>
      <t xml:space="preserve">Dynamo </t>
    </r>
    <r>
      <rPr>
        <sz val="10"/>
        <color theme="1"/>
        <rFont val="等线"/>
        <family val="1"/>
        <charset val="134"/>
      </rPr>
      <t>对该对象的分类不正确，导致在符号执行中将对象识别为</t>
    </r>
    <r>
      <rPr>
        <sz val="10"/>
        <color theme="1"/>
        <rFont val="Times New Roman"/>
        <family val="1"/>
      </rPr>
      <t xml:space="preserve"> Module </t>
    </r>
    <r>
      <rPr>
        <sz val="10"/>
        <color theme="1"/>
        <rFont val="等线"/>
        <family val="1"/>
        <charset val="134"/>
      </rPr>
      <t>而非</t>
    </r>
    <r>
      <rPr>
        <sz val="10"/>
        <color theme="1"/>
        <rFont val="Times New Roman"/>
        <family val="1"/>
      </rPr>
      <t xml:space="preserve"> Mapping</t>
    </r>
    <r>
      <rPr>
        <sz val="10"/>
        <color theme="1"/>
        <rFont val="等线"/>
        <family val="1"/>
        <charset val="134"/>
      </rPr>
      <t>，从而自定义的</t>
    </r>
    <r>
      <rPr>
        <sz val="10"/>
        <color theme="1"/>
        <rFont val="Times New Roman"/>
        <family val="1"/>
      </rPr>
      <t xml:space="preserve"> dict </t>
    </r>
    <r>
      <rPr>
        <sz val="10"/>
        <color theme="1"/>
        <rFont val="等线"/>
        <family val="1"/>
        <charset val="134"/>
      </rPr>
      <t>操作处理失败</t>
    </r>
    <phoneticPr fontId="1" type="noConversion"/>
  </si>
  <si>
    <r>
      <rPr>
        <sz val="10"/>
        <color rgb="FF00B050"/>
        <rFont val="Times New Roman"/>
        <family val="1"/>
      </rPr>
      <t>Multiple inheritance</t>
    </r>
    <r>
      <rPr>
        <sz val="10"/>
        <color theme="1"/>
        <rFont val="Times New Roman"/>
        <family val="1"/>
      </rPr>
      <t xml:space="preserve"> causes object classified as module, not mapping; custom dict handling rejects, raising unsupported during bytecode modeling.</t>
    </r>
    <phoneticPr fontId="1" type="noConversion"/>
  </si>
  <si>
    <r>
      <rPr>
        <sz val="10"/>
        <color rgb="FF00B050"/>
        <rFont val="Times New Roman"/>
        <family val="1"/>
      </rPr>
      <t>Dict subclass read-only operations</t>
    </r>
    <r>
      <rPr>
        <sz val="10"/>
        <color theme="1"/>
        <rFont val="Times New Roman"/>
        <family val="1"/>
      </rPr>
      <t xml:space="preserve"> not modeled during bytecode tracing, causing fullgraph compilation failure.</t>
    </r>
    <phoneticPr fontId="1" type="noConversion"/>
  </si>
  <si>
    <r>
      <rPr>
        <sz val="10"/>
        <color theme="1"/>
        <rFont val="宋体"/>
        <family val="1"/>
        <charset val="134"/>
      </rPr>
      <t>由于运行时</t>
    </r>
    <r>
      <rPr>
        <sz val="10"/>
        <color theme="1"/>
        <rFont val="Times New Roman"/>
        <family val="1"/>
      </rPr>
      <t xml:space="preserve"> feature flag </t>
    </r>
    <r>
      <rPr>
        <sz val="10"/>
        <color theme="1"/>
        <rFont val="宋体"/>
        <family val="1"/>
        <charset val="134"/>
      </rPr>
      <t>改变了对函数配置（</t>
    </r>
    <r>
      <rPr>
        <sz val="10"/>
        <color theme="1"/>
        <rFont val="Times New Roman"/>
        <family val="1"/>
      </rPr>
      <t>kwargs</t>
    </r>
    <r>
      <rPr>
        <sz val="10"/>
        <color theme="1"/>
        <rFont val="宋体"/>
        <family val="1"/>
        <charset val="134"/>
      </rPr>
      <t>）的处理方式，导致某些配置参数未被正确清理或验证，触发</t>
    </r>
    <r>
      <rPr>
        <sz val="10"/>
        <color theme="1"/>
        <rFont val="Times New Roman"/>
        <family val="1"/>
      </rPr>
      <t xml:space="preserve"> compilation-aware </t>
    </r>
    <r>
      <rPr>
        <sz val="10"/>
        <color theme="1"/>
        <rFont val="宋体"/>
        <family val="1"/>
        <charset val="134"/>
      </rPr>
      <t>分支，最终在模型初始化或验证时报错</t>
    </r>
    <r>
      <rPr>
        <sz val="10"/>
        <color theme="1"/>
        <rFont val="Times New Roman"/>
        <family val="1"/>
        <charset val="134"/>
      </rPr>
      <t xml:space="preserve">
Dynamo </t>
    </r>
    <r>
      <rPr>
        <sz val="10"/>
        <color theme="1"/>
        <rFont val="宋体"/>
        <family val="1"/>
        <charset val="134"/>
      </rPr>
      <t>开始</t>
    </r>
    <r>
      <rPr>
        <sz val="10"/>
        <color theme="1"/>
        <rFont val="Times New Roman"/>
        <family val="1"/>
        <charset val="134"/>
      </rPr>
      <t xml:space="preserve"> symbolically interpret CALL_FUNCTION / CALL_FUNCTION_KW</t>
    </r>
    <r>
      <rPr>
        <sz val="10"/>
        <color theme="1"/>
        <rFont val="等线"/>
        <family val="1"/>
        <charset val="134"/>
      </rPr>
      <t>，</t>
    </r>
    <r>
      <rPr>
        <sz val="10"/>
        <color theme="1"/>
        <rFont val="Times New Roman"/>
        <family val="1"/>
        <charset val="134"/>
      </rPr>
      <t xml:space="preserve">kwargs </t>
    </r>
    <r>
      <rPr>
        <sz val="10"/>
        <color theme="1"/>
        <rFont val="宋体"/>
        <family val="1"/>
        <charset val="134"/>
      </rPr>
      <t>未被清理，</t>
    </r>
    <r>
      <rPr>
        <sz val="10"/>
        <color theme="1"/>
        <rFont val="Times New Roman"/>
        <family val="1"/>
        <charset val="134"/>
      </rPr>
      <t xml:space="preserve">model validation </t>
    </r>
    <r>
      <rPr>
        <sz val="10"/>
        <color theme="1"/>
        <rFont val="宋体"/>
        <family val="1"/>
        <charset val="134"/>
      </rPr>
      <t>或内部属性访问失败</t>
    </r>
    <phoneticPr fontId="1" type="noConversion"/>
  </si>
  <si>
    <r>
      <rPr>
        <sz val="10"/>
        <color rgb="FFFF0000"/>
        <rFont val="Times New Roman"/>
        <family val="1"/>
      </rPr>
      <t>Compilation-aware branch skips config sanitization</t>
    </r>
    <r>
      <rPr>
        <sz val="10"/>
        <color theme="1"/>
        <rFont val="Times New Roman"/>
        <family val="1"/>
      </rPr>
      <t>; leftover kwargs cause model validation to raise an error unlike eager.</t>
    </r>
    <phoneticPr fontId="1" type="noConversion"/>
  </si>
  <si>
    <r>
      <rPr>
        <sz val="10"/>
        <color rgb="FFFF0000"/>
        <rFont val="Times New Roman"/>
        <family val="1"/>
      </rPr>
      <t>runtime feature flag</t>
    </r>
    <r>
      <rPr>
        <sz val="10"/>
        <color theme="1"/>
        <rFont val="Times New Roman"/>
        <family val="1"/>
      </rPr>
      <t xml:space="preserve"> alters configuration kwargs handling under compilation</t>
    </r>
    <phoneticPr fontId="1" type="noConversion"/>
  </si>
  <si>
    <r>
      <rPr>
        <sz val="10"/>
        <color rgb="FF00B050"/>
        <rFont val="Times New Roman"/>
        <family val="1"/>
      </rPr>
      <t>Iterator-based container mutation</t>
    </r>
    <r>
      <rPr>
        <sz val="10"/>
        <color theme="1"/>
        <rFont val="Times New Roman"/>
        <family val="1"/>
      </rPr>
      <t xml:space="preserve"> unsupported; bytecode modeling can't unpack iterator elements, causing compilation to abort.</t>
    </r>
    <phoneticPr fontId="1" type="noConversion"/>
  </si>
  <si>
    <r>
      <t xml:space="preserve">Dispatch override routes </t>
    </r>
    <r>
      <rPr>
        <sz val="10"/>
        <color rgb="FF00B050"/>
        <rFont val="Times New Roman"/>
        <family val="1"/>
      </rPr>
      <t>tensor method</t>
    </r>
    <r>
      <rPr>
        <sz val="10"/>
        <color theme="1"/>
        <rFont val="Times New Roman"/>
        <family val="1"/>
      </rPr>
      <t xml:space="preserve"> to unhandled C-extension builtin, causing Dynamo unsupported error and graph break.</t>
    </r>
    <phoneticPr fontId="1" type="noConversion"/>
  </si>
  <si>
    <t>nest/closure</t>
  </si>
  <si>
    <t>nest/closure</t>
    <phoneticPr fontId="1" type="noConversion"/>
  </si>
  <si>
    <r>
      <rPr>
        <sz val="10"/>
        <color theme="1"/>
        <rFont val="宋体"/>
        <family val="1"/>
        <charset val="134"/>
      </rPr>
      <t>用户通过动态</t>
    </r>
    <r>
      <rPr>
        <sz val="10"/>
        <color theme="1"/>
        <rFont val="Times New Roman"/>
        <family val="1"/>
      </rPr>
      <t xml:space="preserve"> dispatch override</t>
    </r>
    <r>
      <rPr>
        <sz val="10"/>
        <color theme="1"/>
        <rFont val="宋体"/>
        <family val="1"/>
        <charset val="134"/>
      </rPr>
      <t>（例如</t>
    </r>
    <r>
      <rPr>
        <sz val="10"/>
        <color theme="1"/>
        <rFont val="Times New Roman"/>
        <family val="1"/>
      </rPr>
      <t xml:space="preserve"> monkey-patch </t>
    </r>
    <r>
      <rPr>
        <sz val="10"/>
        <color theme="1"/>
        <rFont val="宋体"/>
        <family val="1"/>
        <charset val="134"/>
      </rPr>
      <t>或自定义</t>
    </r>
    <r>
      <rPr>
        <sz val="10"/>
        <color theme="1"/>
        <rFont val="Times New Roman"/>
        <family val="1"/>
      </rPr>
      <t xml:space="preserve"> torch_dispatch</t>
    </r>
    <r>
      <rPr>
        <sz val="10"/>
        <color theme="1"/>
        <rFont val="宋体"/>
        <family val="1"/>
        <charset val="134"/>
      </rPr>
      <t>）拦截</t>
    </r>
    <r>
      <rPr>
        <sz val="10"/>
        <color theme="1"/>
        <rFont val="Times New Roman"/>
        <family val="1"/>
      </rPr>
      <t xml:space="preserve"> Tensor </t>
    </r>
    <r>
      <rPr>
        <sz val="10"/>
        <color theme="1"/>
        <rFont val="宋体"/>
        <family val="1"/>
        <charset val="134"/>
      </rPr>
      <t>方法时，如果该方法最终映射到一个</t>
    </r>
    <r>
      <rPr>
        <sz val="10"/>
        <color theme="1"/>
        <rFont val="Times New Roman"/>
        <family val="1"/>
      </rPr>
      <t xml:space="preserve"> Dynamo </t>
    </r>
    <r>
      <rPr>
        <sz val="10"/>
        <color theme="1"/>
        <rFont val="宋体"/>
        <family val="1"/>
        <charset val="134"/>
      </rPr>
      <t>未建模的</t>
    </r>
    <r>
      <rPr>
        <sz val="10"/>
        <color theme="1"/>
        <rFont val="Times New Roman"/>
        <family val="1"/>
      </rPr>
      <t xml:space="preserve"> C-extension </t>
    </r>
    <r>
      <rPr>
        <sz val="10"/>
        <color theme="1"/>
        <rFont val="宋体"/>
        <family val="1"/>
        <charset val="134"/>
      </rPr>
      <t>内置函数，</t>
    </r>
    <r>
      <rPr>
        <sz val="10"/>
        <color theme="1"/>
        <rFont val="Times New Roman"/>
        <family val="1"/>
      </rPr>
      <t xml:space="preserve">symbolic execution </t>
    </r>
    <r>
      <rPr>
        <sz val="10"/>
        <color theme="1"/>
        <rFont val="宋体"/>
        <family val="1"/>
        <charset val="134"/>
      </rPr>
      <t>无法处理</t>
    </r>
    <phoneticPr fontId="1" type="noConversion"/>
  </si>
  <si>
    <r>
      <rPr>
        <sz val="10"/>
        <color rgb="FF00B050"/>
        <rFont val="Times New Roman"/>
        <family val="1"/>
      </rPr>
      <t>Attribute mutation on mapping</t>
    </r>
    <r>
      <rPr>
        <sz val="10"/>
        <color theme="1"/>
        <rFont val="Times New Roman"/>
        <family val="1"/>
      </rPr>
      <t xml:space="preserve"> during context exceeds compiler bytecode modeling, causing compilation abort.</t>
    </r>
    <phoneticPr fontId="1" type="noConversion"/>
  </si>
  <si>
    <r>
      <rPr>
        <sz val="10"/>
        <color rgb="FF00B050"/>
        <rFont val="Times New Roman"/>
        <family val="1"/>
      </rPr>
      <t>Nested function decoration</t>
    </r>
    <r>
      <rPr>
        <sz val="10"/>
        <color theme="1"/>
        <rFont val="Times New Roman"/>
        <family val="1"/>
      </rPr>
      <t xml:space="preserve"> causes Dynamo’s function reconstruction to fail during bytecode modeling, resulting in a compile-time crash.</t>
    </r>
    <phoneticPr fontId="1" type="noConversion"/>
  </si>
  <si>
    <t>同135573</t>
    <phoneticPr fontId="1" type="noConversion"/>
  </si>
  <si>
    <r>
      <t xml:space="preserve">Dynamo mismodels Python rich comparison fallback, ignoring </t>
    </r>
    <r>
      <rPr>
        <sz val="10"/>
        <color rgb="FF00B050"/>
        <rFont val="Times New Roman"/>
        <family val="1"/>
      </rPr>
      <t>overridden equality</t>
    </r>
    <r>
      <rPr>
        <sz val="10"/>
        <color theme="1"/>
        <rFont val="Times New Roman"/>
        <family val="1"/>
      </rPr>
      <t xml:space="preserve"> when evaluating inequality, leading to wrong boolean result.</t>
    </r>
    <phoneticPr fontId="1" type="noConversion"/>
  </si>
  <si>
    <r>
      <rPr>
        <sz val="10"/>
        <color theme="1"/>
        <rFont val="宋体"/>
        <family val="1"/>
        <charset val="134"/>
      </rPr>
      <t>用户直接通过对象的属性字典（</t>
    </r>
    <r>
      <rPr>
        <sz val="10"/>
        <color theme="1"/>
        <rFont val="Times New Roman"/>
        <family val="1"/>
      </rPr>
      <t>__dict__</t>
    </r>
    <r>
      <rPr>
        <sz val="10"/>
        <color theme="1"/>
        <rFont val="宋体"/>
        <family val="1"/>
        <charset val="134"/>
      </rPr>
      <t>）或类似映射（</t>
    </r>
    <r>
      <rPr>
        <sz val="10"/>
        <color theme="1"/>
        <rFont val="Times New Roman"/>
        <family val="1"/>
      </rPr>
      <t>mapping</t>
    </r>
    <r>
      <rPr>
        <sz val="10"/>
        <color theme="1"/>
        <rFont val="宋体"/>
        <family val="1"/>
        <charset val="134"/>
      </rPr>
      <t>）写入来修改属性时，</t>
    </r>
    <r>
      <rPr>
        <sz val="10"/>
        <color theme="1"/>
        <rFont val="Times New Roman"/>
        <family val="1"/>
      </rPr>
      <t xml:space="preserve">Dynamo </t>
    </r>
    <r>
      <rPr>
        <sz val="10"/>
        <color theme="1"/>
        <rFont val="宋体"/>
        <family val="1"/>
        <charset val="134"/>
      </rPr>
      <t>没有对这种直接存储的修改建模</t>
    </r>
    <phoneticPr fontId="1" type="noConversion"/>
  </si>
  <si>
    <r>
      <t>Direct</t>
    </r>
    <r>
      <rPr>
        <sz val="10"/>
        <color rgb="FF00B050"/>
        <rFont val="Times New Roman"/>
        <family val="1"/>
      </rPr>
      <t xml:space="preserve"> attribute storage mutation</t>
    </r>
    <r>
      <rPr>
        <sz val="10"/>
        <color theme="1"/>
        <rFont val="Times New Roman"/>
        <family val="1"/>
      </rPr>
      <t xml:space="preserve"> via mapping write is unmodeled, causing a Dynamo graph break during compilation.</t>
    </r>
    <phoneticPr fontId="1" type="noConversion"/>
  </si>
  <si>
    <r>
      <rPr>
        <sz val="10"/>
        <color rgb="FF00B050"/>
        <rFont val="Times New Roman"/>
        <family val="1"/>
      </rPr>
      <t>Custom container membership</t>
    </r>
    <r>
      <rPr>
        <sz val="10"/>
        <color theme="1"/>
        <rFont val="Times New Roman"/>
        <family val="1"/>
      </rPr>
      <t xml:space="preserve"> relies on equality not modeled by Dynamo, causing unsupported comparison and failure under fullgraph execution.</t>
    </r>
    <phoneticPr fontId="1" type="noConversion"/>
  </si>
  <si>
    <r>
      <t xml:space="preserve">A </t>
    </r>
    <r>
      <rPr>
        <sz val="10"/>
        <color rgb="FF00B050"/>
        <rFont val="Times New Roman"/>
        <family val="1"/>
      </rPr>
      <t>built-in call</t>
    </r>
    <r>
      <rPr>
        <sz val="10"/>
        <color theme="1"/>
        <rFont val="Times New Roman"/>
        <family val="1"/>
      </rPr>
      <t xml:space="preserve"> is treated as a string method, misbinding arguments and crashing during compilation.</t>
    </r>
    <phoneticPr fontId="1" type="noConversion"/>
  </si>
  <si>
    <r>
      <rPr>
        <sz val="10"/>
        <color rgb="FF00B050"/>
        <rFont val="Times New Roman"/>
        <family val="1"/>
      </rPr>
      <t>Implicit coercion</t>
    </r>
    <r>
      <rPr>
        <sz val="10"/>
        <color theme="1"/>
        <rFont val="Times New Roman"/>
        <family val="1"/>
      </rPr>
      <t xml:space="preserve"> during capture alters device placement semantics, diverging from eager execution.</t>
    </r>
    <phoneticPr fontId="1" type="noConversion"/>
  </si>
  <si>
    <r>
      <t xml:space="preserve">Dynamo </t>
    </r>
    <r>
      <rPr>
        <sz val="10"/>
        <color rgb="FF00B050"/>
        <rFont val="Times New Roman"/>
        <family val="1"/>
      </rPr>
      <t>misinterprets None</t>
    </r>
    <r>
      <rPr>
        <sz val="10"/>
        <color theme="1"/>
        <rFont val="Times New Roman"/>
        <family val="1"/>
      </rPr>
      <t xml:space="preserve"> inequality, invoking overloaded comparison and failing to model control-flow predicate during graph building.</t>
    </r>
    <phoneticPr fontId="1" type="noConversion"/>
  </si>
  <si>
    <r>
      <rPr>
        <sz val="10"/>
        <color theme="1"/>
        <rFont val="宋体"/>
        <family val="1"/>
        <charset val="134"/>
      </rPr>
      <t>发生了隐式类型或设备转换（</t>
    </r>
    <r>
      <rPr>
        <sz val="10"/>
        <color theme="1"/>
        <rFont val="Times New Roman"/>
        <family val="1"/>
      </rPr>
      <t>type coercion / device coercion</t>
    </r>
    <r>
      <rPr>
        <sz val="10"/>
        <color theme="1"/>
        <rFont val="宋体"/>
        <family val="1"/>
        <charset val="134"/>
      </rPr>
      <t>），导致符号执行结果的设备</t>
    </r>
    <r>
      <rPr>
        <sz val="10"/>
        <color theme="1"/>
        <rFont val="Times New Roman"/>
        <family val="1"/>
      </rPr>
      <t xml:space="preserve"> placement </t>
    </r>
    <r>
      <rPr>
        <sz val="10"/>
        <color theme="1"/>
        <rFont val="宋体"/>
        <family val="1"/>
        <charset val="134"/>
      </rPr>
      <t>或类型语义与</t>
    </r>
    <r>
      <rPr>
        <sz val="10"/>
        <color theme="1"/>
        <rFont val="Times New Roman"/>
        <family val="1"/>
      </rPr>
      <t xml:space="preserve"> eager </t>
    </r>
    <r>
      <rPr>
        <sz val="10"/>
        <color theme="1"/>
        <rFont val="宋体"/>
        <family val="1"/>
        <charset val="134"/>
      </rPr>
      <t>执行不同</t>
    </r>
    <phoneticPr fontId="1" type="noConversion"/>
  </si>
  <si>
    <r>
      <rPr>
        <sz val="10"/>
        <color rgb="FF00B050"/>
        <rFont val="Times New Roman"/>
        <family val="1"/>
      </rPr>
      <t>Inline introspection</t>
    </r>
    <r>
      <rPr>
        <sz val="10"/>
        <color theme="1"/>
        <rFont val="Times New Roman"/>
        <family val="1"/>
      </rPr>
      <t xml:space="preserve"> yields a </t>
    </r>
    <r>
      <rPr>
        <sz val="10"/>
        <color rgb="FF00B050"/>
        <rFont val="Times New Roman"/>
        <family val="1"/>
      </rPr>
      <t>mappingproxy container</t>
    </r>
    <r>
      <rPr>
        <sz val="10"/>
        <color theme="1"/>
        <rFont val="Times New Roman"/>
        <family val="1"/>
      </rPr>
      <t xml:space="preserve"> Dynamo can’t model, triggering a graph break and fullgraph compilation abort.</t>
    </r>
    <phoneticPr fontId="1" type="noConversion"/>
  </si>
  <si>
    <r>
      <rPr>
        <sz val="10"/>
        <color theme="1"/>
        <rFont val="宋体"/>
        <family val="1"/>
        <charset val="134"/>
      </rPr>
      <t>当用户使用</t>
    </r>
    <r>
      <rPr>
        <sz val="10"/>
        <color theme="1"/>
        <rFont val="Times New Roman"/>
        <family val="1"/>
      </rPr>
      <t xml:space="preserve"> Python </t>
    </r>
    <r>
      <rPr>
        <sz val="10"/>
        <color theme="1"/>
        <rFont val="宋体"/>
        <family val="1"/>
        <charset val="134"/>
      </rPr>
      <t>对象的</t>
    </r>
    <r>
      <rPr>
        <sz val="10"/>
        <color theme="1"/>
        <rFont val="Times New Roman"/>
        <family val="1"/>
      </rPr>
      <t xml:space="preserve"> truthiness</t>
    </r>
    <r>
      <rPr>
        <sz val="10"/>
        <color theme="1"/>
        <rFont val="宋体"/>
        <family val="1"/>
        <charset val="134"/>
      </rPr>
      <t>（布尔值）作为分支条件时，</t>
    </r>
    <r>
      <rPr>
        <sz val="10"/>
        <color theme="1"/>
        <rFont val="Times New Roman"/>
        <family val="1"/>
      </rPr>
      <t xml:space="preserve">Dynamo </t>
    </r>
    <r>
      <rPr>
        <sz val="10"/>
        <color theme="1"/>
        <rFont val="宋体"/>
        <family val="1"/>
        <charset val="134"/>
      </rPr>
      <t>在符号执行过程中会触发对对象的布尔求值操作，如果该对象是用户定义的</t>
    </r>
    <r>
      <rPr>
        <sz val="10"/>
        <color theme="1"/>
        <rFont val="Times New Roman"/>
        <family val="1"/>
      </rPr>
      <t xml:space="preserve"> Module </t>
    </r>
    <r>
      <rPr>
        <sz val="10"/>
        <color theme="1"/>
        <rFont val="宋体"/>
        <family val="1"/>
        <charset val="134"/>
      </rPr>
      <t>或自定义类型且尚未完全初始化，</t>
    </r>
    <r>
      <rPr>
        <sz val="10"/>
        <color theme="1"/>
        <rFont val="Times New Roman"/>
        <family val="1"/>
      </rPr>
      <t xml:space="preserve">Dynamo </t>
    </r>
    <r>
      <rPr>
        <sz val="10"/>
        <color theme="1"/>
        <rFont val="宋体"/>
        <family val="1"/>
        <charset val="134"/>
      </rPr>
      <t>调用未建模的方法或访问未初始化的属性，从而触发</t>
    </r>
    <r>
      <rPr>
        <sz val="10"/>
        <color theme="1"/>
        <rFont val="Times New Roman"/>
        <family val="1"/>
      </rPr>
      <t xml:space="preserve"> AttributeError</t>
    </r>
    <phoneticPr fontId="1" type="noConversion"/>
  </si>
  <si>
    <r>
      <t xml:space="preserve">Dynamo truthiness handling calls user-defined methods on unspecialized modules, causing AttributeError from </t>
    </r>
    <r>
      <rPr>
        <sz val="10"/>
        <color rgb="FF00B050"/>
        <rFont val="Times New Roman"/>
        <family val="1"/>
      </rPr>
      <t>unmodeled initialization state</t>
    </r>
    <r>
      <rPr>
        <sz val="10"/>
        <color theme="1"/>
        <rFont val="Times New Roman"/>
        <family val="1"/>
      </rPr>
      <t>.</t>
    </r>
    <phoneticPr fontId="1" type="noConversion"/>
  </si>
  <si>
    <r>
      <rPr>
        <sz val="10"/>
        <color theme="1"/>
        <rFont val="宋体"/>
        <family val="1"/>
        <charset val="134"/>
      </rPr>
      <t>当函数参数绑定（</t>
    </r>
    <r>
      <rPr>
        <sz val="10"/>
        <color theme="1"/>
        <rFont val="Times New Roman"/>
        <family val="1"/>
      </rPr>
      <t>argument binding</t>
    </r>
    <r>
      <rPr>
        <sz val="10"/>
        <color theme="1"/>
        <rFont val="宋体"/>
        <family val="1"/>
        <charset val="134"/>
      </rPr>
      <t>）涉及</t>
    </r>
    <r>
      <rPr>
        <sz val="10"/>
        <color theme="1"/>
        <rFont val="Times New Roman"/>
        <family val="1"/>
      </rPr>
      <t xml:space="preserve"> Python </t>
    </r>
    <r>
      <rPr>
        <sz val="10"/>
        <color theme="1"/>
        <rFont val="宋体"/>
        <family val="1"/>
        <charset val="134"/>
      </rPr>
      <t>的不可变映射视图（</t>
    </r>
    <r>
      <rPr>
        <sz val="10"/>
        <color theme="1"/>
        <rFont val="Times New Roman"/>
        <family val="1"/>
      </rPr>
      <t>mappingproxy</t>
    </r>
    <r>
      <rPr>
        <sz val="10"/>
        <color theme="1"/>
        <rFont val="宋体"/>
        <family val="1"/>
        <charset val="134"/>
      </rPr>
      <t>，通常由</t>
    </r>
    <r>
      <rPr>
        <sz val="10"/>
        <color theme="1"/>
        <rFont val="Times New Roman"/>
        <family val="1"/>
      </rPr>
      <t xml:space="preserve"> types.MappingProxyType </t>
    </r>
    <r>
      <rPr>
        <sz val="10"/>
        <color theme="1"/>
        <rFont val="宋体"/>
        <family val="1"/>
        <charset val="134"/>
      </rPr>
      <t>或</t>
    </r>
    <r>
      <rPr>
        <sz val="10"/>
        <color theme="1"/>
        <rFont val="Times New Roman"/>
        <family val="1"/>
      </rPr>
      <t xml:space="preserve"> __dict__ </t>
    </r>
    <r>
      <rPr>
        <sz val="10"/>
        <color theme="1"/>
        <rFont val="宋体"/>
        <family val="1"/>
        <charset val="134"/>
      </rPr>
      <t>的只读视图产生）时，</t>
    </r>
    <r>
      <rPr>
        <sz val="10"/>
        <color theme="1"/>
        <rFont val="Times New Roman"/>
        <family val="1"/>
      </rPr>
      <t xml:space="preserve">Dynamo </t>
    </r>
    <r>
      <rPr>
        <sz val="10"/>
        <color theme="1"/>
        <rFont val="宋体"/>
        <family val="1"/>
        <charset val="134"/>
      </rPr>
      <t>的</t>
    </r>
    <r>
      <rPr>
        <sz val="10"/>
        <color theme="1"/>
        <rFont val="Times New Roman"/>
        <family val="1"/>
      </rPr>
      <t xml:space="preserve"> symbolically interpret </t>
    </r>
    <r>
      <rPr>
        <sz val="10"/>
        <color theme="1"/>
        <rFont val="宋体"/>
        <family val="1"/>
        <charset val="134"/>
      </rPr>
      <t>无法对这种对象建模</t>
    </r>
    <phoneticPr fontId="1" type="noConversion"/>
  </si>
  <si>
    <r>
      <rPr>
        <sz val="10"/>
        <color rgb="FFFF0000"/>
        <rFont val="Times New Roman"/>
        <family val="1"/>
      </rPr>
      <t>Misordered handling of with-block stack</t>
    </r>
    <r>
      <rPr>
        <sz val="10"/>
        <color theme="1"/>
        <rFont val="Times New Roman"/>
        <family val="1"/>
      </rPr>
      <t xml:space="preserve"> during bytecode emulation causes re-entrance failure when a graph break occurs, leading to crash.</t>
    </r>
    <phoneticPr fontId="1" type="noConversion"/>
  </si>
  <si>
    <r>
      <rPr>
        <sz val="10"/>
        <color rgb="FF00B050"/>
        <rFont val="Times New Roman"/>
        <family val="1"/>
      </rPr>
      <t>Python mapping view</t>
    </r>
    <r>
      <rPr>
        <sz val="10"/>
        <color theme="1"/>
        <rFont val="Times New Roman"/>
        <family val="1"/>
      </rPr>
      <t xml:space="preserve"> is modeled as a tuple during compilation, yielding inconsistent results.</t>
    </r>
    <phoneticPr fontId="1" type="noConversion"/>
  </si>
  <si>
    <t>tensor (method)</t>
    <phoneticPr fontId="1" type="noConversion"/>
  </si>
  <si>
    <r>
      <rPr>
        <sz val="10"/>
        <color theme="1"/>
        <rFont val="宋体"/>
        <family val="1"/>
        <charset val="134"/>
      </rPr>
      <t>调用库函数（</t>
    </r>
    <r>
      <rPr>
        <sz val="10"/>
        <color theme="1"/>
        <rFont val="Times New Roman"/>
        <family val="1"/>
      </rPr>
      <t>library function</t>
    </r>
    <r>
      <rPr>
        <sz val="10"/>
        <color theme="1"/>
        <rFont val="宋体"/>
        <family val="1"/>
        <charset val="134"/>
      </rPr>
      <t>）返回布尔值（</t>
    </r>
    <r>
      <rPr>
        <sz val="10"/>
        <color theme="1"/>
        <rFont val="Times New Roman"/>
        <family val="1"/>
      </rPr>
      <t>boolean predicate</t>
    </r>
    <r>
      <rPr>
        <sz val="10"/>
        <color theme="1"/>
        <rFont val="宋体"/>
        <family val="1"/>
        <charset val="134"/>
      </rPr>
      <t>）时，</t>
    </r>
    <r>
      <rPr>
        <sz val="10"/>
        <color theme="1"/>
        <rFont val="Times New Roman"/>
        <family val="1"/>
      </rPr>
      <t xml:space="preserve">Dynamo </t>
    </r>
    <r>
      <rPr>
        <sz val="10"/>
        <color theme="1"/>
        <rFont val="宋体"/>
        <family val="1"/>
        <charset val="134"/>
      </rPr>
      <t>无法在</t>
    </r>
    <r>
      <rPr>
        <sz val="10"/>
        <color theme="1"/>
        <rFont val="Times New Roman"/>
        <family val="1"/>
      </rPr>
      <t xml:space="preserve"> symbolically interpret </t>
    </r>
    <r>
      <rPr>
        <sz val="10"/>
        <color theme="1"/>
        <rFont val="宋体"/>
        <family val="1"/>
        <charset val="134"/>
      </rPr>
      <t>阶段处理该布尔值检查，尤其是在</t>
    </r>
    <r>
      <rPr>
        <sz val="10"/>
        <color theme="1"/>
        <rFont val="Times New Roman"/>
        <family val="1"/>
      </rPr>
      <t xml:space="preserve"> vectorized / optional output axis </t>
    </r>
    <r>
      <rPr>
        <sz val="10"/>
        <color theme="1"/>
        <rFont val="宋体"/>
        <family val="1"/>
        <charset val="134"/>
      </rPr>
      <t>场景下</t>
    </r>
    <phoneticPr fontId="1" type="noConversion"/>
  </si>
  <si>
    <r>
      <t xml:space="preserve">Vectorization with optional output axis forces a </t>
    </r>
    <r>
      <rPr>
        <sz val="10"/>
        <color rgb="FF00B050"/>
        <rFont val="Times New Roman"/>
        <family val="1"/>
      </rPr>
      <t>boolean library check</t>
    </r>
    <r>
      <rPr>
        <sz val="10"/>
        <color theme="1"/>
        <rFont val="Times New Roman"/>
        <family val="1"/>
      </rPr>
      <t>, which Dynamo can't trace, causing a fullgraph break and failure.</t>
    </r>
    <phoneticPr fontId="1" type="noConversion"/>
  </si>
  <si>
    <r>
      <rPr>
        <sz val="10"/>
        <color rgb="FF00B050"/>
        <rFont val="Times New Roman"/>
        <family val="1"/>
      </rPr>
      <t>Tensor subclass</t>
    </r>
    <r>
      <rPr>
        <sz val="10"/>
        <color theme="1"/>
        <rFont val="Times New Roman"/>
        <family val="1"/>
      </rPr>
      <t xml:space="preserve"> loses tensor typing; operator modeled as generic object call, unsupported by Dynamo, causing graph break and compilation failure.</t>
    </r>
    <phoneticPr fontId="1" type="noConversion"/>
  </si>
  <si>
    <r>
      <t xml:space="preserve">Compiler fails to model </t>
    </r>
    <r>
      <rPr>
        <sz val="10"/>
        <color rgb="FF00B050"/>
        <rFont val="Times New Roman"/>
        <family val="1"/>
      </rPr>
      <t>custom attribute resolution</t>
    </r>
    <r>
      <rPr>
        <sz val="10"/>
        <color theme="1"/>
        <rFont val="Times New Roman"/>
        <family val="1"/>
      </rPr>
      <t>, hitting sourceless builder unsupported type and aborting graph compilation.</t>
    </r>
    <phoneticPr fontId="1" type="noConversion"/>
  </si>
  <si>
    <r>
      <t xml:space="preserve">overridden attribute access in </t>
    </r>
    <r>
      <rPr>
        <sz val="10"/>
        <color rgb="FF00B050"/>
        <rFont val="Times New Roman"/>
        <family val="1"/>
      </rPr>
      <t>nested</t>
    </r>
    <r>
      <rPr>
        <sz val="10"/>
        <color theme="1"/>
        <rFont val="Times New Roman"/>
        <family val="1"/>
      </rPr>
      <t xml:space="preserve"> object</t>
    </r>
    <phoneticPr fontId="1" type="noConversion"/>
  </si>
  <si>
    <r>
      <t>Exception path in with-statement triggers exit returning</t>
    </r>
    <r>
      <rPr>
        <sz val="10"/>
        <color rgb="FF00B050"/>
        <rFont val="Times New Roman"/>
        <family val="1"/>
      </rPr>
      <t xml:space="preserve"> raw None</t>
    </r>
    <r>
      <rPr>
        <sz val="10"/>
        <color theme="1"/>
        <rFont val="Times New Roman"/>
        <family val="1"/>
      </rPr>
      <t>, violating VariableTracker invariants and crashing Dynamo's bytecode modeling.</t>
    </r>
    <phoneticPr fontId="1" type="noConversion"/>
  </si>
  <si>
    <r>
      <rPr>
        <sz val="10"/>
        <color rgb="FF00B050"/>
        <rFont val="Times New Roman"/>
        <family val="1"/>
      </rPr>
      <t>Method decoration</t>
    </r>
    <r>
      <rPr>
        <sz val="10"/>
        <color theme="1"/>
        <rFont val="Times New Roman"/>
        <family val="1"/>
      </rPr>
      <t xml:space="preserve"> hides binding semantics; Dynamo models it as a plain function call, dropping self and raising argument mismatch.</t>
    </r>
    <phoneticPr fontId="1" type="noConversion"/>
  </si>
  <si>
    <r>
      <rPr>
        <sz val="10"/>
        <color theme="1"/>
        <rFont val="宋体"/>
        <family val="1"/>
        <charset val="134"/>
      </rPr>
      <t>当通过</t>
    </r>
    <r>
      <rPr>
        <sz val="10"/>
        <color theme="1"/>
        <rFont val="Times New Roman"/>
        <family val="1"/>
      </rPr>
      <t xml:space="preserve"> LOAD_ATTR </t>
    </r>
    <r>
      <rPr>
        <sz val="10"/>
        <color theme="1"/>
        <rFont val="宋体"/>
        <family val="1"/>
        <charset val="134"/>
      </rPr>
      <t>获取到的属性是一个“可调用对象（</t>
    </r>
    <r>
      <rPr>
        <sz val="10"/>
        <color theme="1"/>
        <rFont val="Times New Roman"/>
        <family val="1"/>
      </rPr>
      <t>callable</t>
    </r>
    <r>
      <rPr>
        <sz val="10"/>
        <color theme="1"/>
        <rFont val="宋体"/>
        <family val="1"/>
        <charset val="134"/>
      </rPr>
      <t>）”，但该对象并不是标准的</t>
    </r>
    <r>
      <rPr>
        <sz val="10"/>
        <color theme="1"/>
        <rFont val="Times New Roman"/>
        <family val="1"/>
      </rPr>
      <t xml:space="preserve"> Python </t>
    </r>
    <r>
      <rPr>
        <sz val="10"/>
        <color theme="1"/>
        <rFont val="宋体"/>
        <family val="1"/>
        <charset val="134"/>
      </rPr>
      <t>函数</t>
    </r>
    <r>
      <rPr>
        <sz val="10"/>
        <color theme="1"/>
        <rFont val="Times New Roman"/>
        <family val="1"/>
      </rPr>
      <t>/</t>
    </r>
    <r>
      <rPr>
        <sz val="10"/>
        <color theme="1"/>
        <rFont val="宋体"/>
        <family val="1"/>
        <charset val="134"/>
      </rPr>
      <t>方法（例如</t>
    </r>
    <r>
      <rPr>
        <sz val="10"/>
        <color theme="1"/>
        <rFont val="Times New Roman"/>
        <family val="1"/>
      </rPr>
      <t xml:space="preserve"> C-extension callable</t>
    </r>
    <r>
      <rPr>
        <sz val="10"/>
        <color theme="1"/>
        <rFont val="宋体"/>
        <family val="1"/>
        <charset val="134"/>
      </rPr>
      <t>、</t>
    </r>
    <r>
      <rPr>
        <sz val="10"/>
        <color theme="1"/>
        <rFont val="Times New Roman"/>
        <family val="1"/>
      </rPr>
      <t xml:space="preserve">functor </t>
    </r>
    <r>
      <rPr>
        <sz val="10"/>
        <color theme="1"/>
        <rFont val="宋体"/>
        <family val="1"/>
        <charset val="134"/>
      </rPr>
      <t>对象等），从而缺失</t>
    </r>
    <r>
      <rPr>
        <sz val="10"/>
        <color theme="1"/>
        <rFont val="Times New Roman"/>
        <family val="1"/>
      </rPr>
      <t xml:space="preserve"> Dynamo </t>
    </r>
    <r>
      <rPr>
        <sz val="10"/>
        <color theme="1"/>
        <rFont val="宋体"/>
        <family val="1"/>
        <charset val="134"/>
      </rPr>
      <t>期望存在的</t>
    </r>
    <r>
      <rPr>
        <sz val="10"/>
        <color theme="1"/>
        <rFont val="Times New Roman"/>
        <family val="1"/>
      </rPr>
      <t xml:space="preserve"> __name__ </t>
    </r>
    <r>
      <rPr>
        <sz val="10"/>
        <color theme="1"/>
        <rFont val="宋体"/>
        <family val="1"/>
        <charset val="134"/>
      </rPr>
      <t>等元数据时，符号执行中的属性建模失败</t>
    </r>
    <phoneticPr fontId="1" type="noConversion"/>
  </si>
  <si>
    <r>
      <t xml:space="preserve">During symbolic attribute access, Dynamo expects __name__ on callables; a </t>
    </r>
    <r>
      <rPr>
        <sz val="10"/>
        <color rgb="FF00B050"/>
        <rFont val="Times New Roman"/>
        <family val="1"/>
      </rPr>
      <t>non-Python callable lacks it</t>
    </r>
    <r>
      <rPr>
        <sz val="10"/>
        <color theme="1"/>
        <rFont val="Times New Roman"/>
        <family val="1"/>
      </rPr>
      <t>, triggering an exception.</t>
    </r>
    <phoneticPr fontId="1" type="noConversion"/>
  </si>
  <si>
    <r>
      <rPr>
        <i/>
        <sz val="10"/>
        <color theme="0" tint="-0.249977111117893"/>
        <rFont val="宋体"/>
        <family val="3"/>
        <charset val="134"/>
      </rPr>
      <t>用户误用</t>
    </r>
    <phoneticPr fontId="1" type="noConversion"/>
  </si>
  <si>
    <r>
      <rPr>
        <sz val="10"/>
        <color theme="1"/>
        <rFont val="宋体"/>
        <family val="1"/>
        <charset val="134"/>
      </rPr>
      <t>当用户将“动态的</t>
    </r>
    <r>
      <rPr>
        <sz val="10"/>
        <color theme="1"/>
        <rFont val="Times New Roman"/>
        <family val="1"/>
      </rPr>
      <t xml:space="preserve"> tensor scalar”</t>
    </r>
    <r>
      <rPr>
        <sz val="10"/>
        <color theme="1"/>
        <rFont val="宋体"/>
        <family val="1"/>
        <charset val="134"/>
      </rPr>
      <t>（</t>
    </r>
    <r>
      <rPr>
        <sz val="10"/>
        <color theme="1"/>
        <rFont val="Times New Roman"/>
        <family val="1"/>
      </rPr>
      <t>0-dim tensor</t>
    </r>
    <r>
      <rPr>
        <sz val="10"/>
        <color theme="1"/>
        <rFont val="宋体"/>
        <family val="1"/>
        <charset val="134"/>
      </rPr>
      <t>）放入用于定义</t>
    </r>
    <r>
      <rPr>
        <sz val="10"/>
        <color theme="1"/>
        <rFont val="Times New Roman"/>
        <family val="1"/>
      </rPr>
      <t xml:space="preserve"> shape </t>
    </r>
    <r>
      <rPr>
        <sz val="10"/>
        <color theme="1"/>
        <rFont val="宋体"/>
        <family val="1"/>
        <charset val="134"/>
      </rPr>
      <t>的</t>
    </r>
    <r>
      <rPr>
        <sz val="10"/>
        <color theme="1"/>
        <rFont val="Times New Roman"/>
        <family val="1"/>
      </rPr>
      <t xml:space="preserve"> Python </t>
    </r>
    <r>
      <rPr>
        <sz val="10"/>
        <color theme="1"/>
        <rFont val="宋体"/>
        <family val="1"/>
        <charset val="134"/>
      </rPr>
      <t>容器（如</t>
    </r>
    <r>
      <rPr>
        <sz val="10"/>
        <color theme="1"/>
        <rFont val="Times New Roman"/>
        <family val="1"/>
      </rPr>
      <t xml:space="preserve"> list / tuple</t>
    </r>
    <r>
      <rPr>
        <sz val="10"/>
        <color theme="1"/>
        <rFont val="宋体"/>
        <family val="1"/>
        <charset val="134"/>
      </rPr>
      <t>）中时，</t>
    </r>
    <r>
      <rPr>
        <sz val="10"/>
        <color theme="1"/>
        <rFont val="Times New Roman"/>
        <family val="1"/>
      </rPr>
      <t xml:space="preserve">Dynamo </t>
    </r>
    <r>
      <rPr>
        <sz val="10"/>
        <color theme="1"/>
        <rFont val="宋体"/>
        <family val="1"/>
        <charset val="134"/>
      </rPr>
      <t>在</t>
    </r>
    <r>
      <rPr>
        <sz val="10"/>
        <color theme="1"/>
        <rFont val="Times New Roman"/>
        <family val="1"/>
      </rPr>
      <t xml:space="preserve"> graph capture </t>
    </r>
    <r>
      <rPr>
        <sz val="10"/>
        <color theme="1"/>
        <rFont val="宋体"/>
        <family val="1"/>
        <charset val="134"/>
      </rPr>
      <t>过程中没有将其正确转换为</t>
    </r>
    <r>
      <rPr>
        <sz val="10"/>
        <color theme="1"/>
        <rFont val="Times New Roman"/>
        <family val="1"/>
      </rPr>
      <t xml:space="preserve"> symbolic integer</t>
    </r>
    <r>
      <rPr>
        <sz val="10"/>
        <color theme="1"/>
        <rFont val="宋体"/>
        <family val="1"/>
        <charset val="134"/>
      </rPr>
      <t>（</t>
    </r>
    <r>
      <rPr>
        <sz val="10"/>
        <color theme="1"/>
        <rFont val="Times New Roman"/>
        <family val="1"/>
      </rPr>
      <t>SymInt</t>
    </r>
    <r>
      <rPr>
        <sz val="10"/>
        <color theme="1"/>
        <rFont val="宋体"/>
        <family val="1"/>
        <charset val="134"/>
      </rPr>
      <t>），导致</t>
    </r>
    <r>
      <rPr>
        <sz val="10"/>
        <color theme="1"/>
        <rFont val="Times New Roman"/>
        <family val="1"/>
      </rPr>
      <t xml:space="preserve"> FakeTensor </t>
    </r>
    <r>
      <rPr>
        <sz val="10"/>
        <color theme="1"/>
        <rFont val="宋体"/>
        <family val="1"/>
        <charset val="134"/>
      </rPr>
      <t>执行阶段无法使用该</t>
    </r>
    <r>
      <rPr>
        <sz val="10"/>
        <color theme="1"/>
        <rFont val="Times New Roman"/>
        <family val="1"/>
      </rPr>
      <t xml:space="preserve"> shape </t>
    </r>
    <r>
      <rPr>
        <sz val="10"/>
        <color theme="1"/>
        <rFont val="宋体"/>
        <family val="1"/>
        <charset val="134"/>
      </rPr>
      <t>信息</t>
    </r>
    <phoneticPr fontId="1" type="noConversion"/>
  </si>
  <si>
    <r>
      <rPr>
        <sz val="10"/>
        <color rgb="FF00B050"/>
        <rFont val="Times New Roman"/>
        <family val="1"/>
      </rPr>
      <t>Scalar tensor shape parameters</t>
    </r>
    <r>
      <rPr>
        <sz val="10"/>
        <color theme="1"/>
        <rFont val="Times New Roman"/>
        <family val="1"/>
      </rPr>
      <t xml:space="preserve"> in containers aren't converted to symbolic integers, breaking fake-tensor execution during graph building and causing failure.</t>
    </r>
    <phoneticPr fontId="1" type="noConversion"/>
  </si>
  <si>
    <r>
      <rPr>
        <i/>
        <sz val="10"/>
        <color theme="0" tint="-0.249977111117893"/>
        <rFont val="宋体"/>
        <family val="3"/>
        <charset val="134"/>
      </rPr>
      <t>由</t>
    </r>
    <r>
      <rPr>
        <i/>
        <sz val="10"/>
        <color theme="0" tint="-0.249977111117893"/>
        <rFont val="Times New Roman"/>
        <family val="1"/>
      </rPr>
      <t>fuzzer</t>
    </r>
    <r>
      <rPr>
        <i/>
        <sz val="10"/>
        <color theme="0" tint="-0.249977111117893"/>
        <rFont val="宋体"/>
        <family val="3"/>
        <charset val="134"/>
      </rPr>
      <t>生成</t>
    </r>
    <r>
      <rPr>
        <i/>
        <sz val="10"/>
        <color theme="0" tint="-0.249977111117893"/>
        <rFont val="Times New Roman"/>
        <family val="1"/>
      </rPr>
      <t xml:space="preserve">, </t>
    </r>
    <r>
      <rPr>
        <i/>
        <sz val="10"/>
        <color theme="0" tint="-0.249977111117893"/>
        <rFont val="宋体"/>
        <family val="3"/>
        <charset val="134"/>
      </rPr>
      <t>判定为</t>
    </r>
    <r>
      <rPr>
        <i/>
        <sz val="10"/>
        <color theme="0" tint="-0.249977111117893"/>
        <rFont val="Times New Roman"/>
        <family val="1"/>
      </rPr>
      <t>API</t>
    </r>
    <r>
      <rPr>
        <i/>
        <sz val="10"/>
        <color theme="0" tint="-0.249977111117893"/>
        <rFont val="宋体"/>
        <family val="3"/>
        <charset val="134"/>
      </rPr>
      <t>误用</t>
    </r>
    <phoneticPr fontId="1" type="noConversion"/>
  </si>
  <si>
    <r>
      <rPr>
        <i/>
        <sz val="10"/>
        <color theme="0" tint="-0.249977111117893"/>
        <rFont val="宋体"/>
        <family val="3"/>
        <charset val="134"/>
      </rPr>
      <t>官方认为非</t>
    </r>
    <r>
      <rPr>
        <i/>
        <sz val="10"/>
        <color theme="0" tint="-0.249977111117893"/>
        <rFont val="Times New Roman"/>
        <family val="1"/>
      </rPr>
      <t xml:space="preserve"> bug </t>
    </r>
    <r>
      <rPr>
        <i/>
        <sz val="10"/>
        <color theme="0" tint="-0.249977111117893"/>
        <rFont val="宋体"/>
        <family val="3"/>
        <charset val="134"/>
      </rPr>
      <t>所以</t>
    </r>
    <r>
      <rPr>
        <i/>
        <sz val="10"/>
        <color theme="0" tint="-0.249977111117893"/>
        <rFont val="Times New Roman"/>
        <family val="1"/>
      </rPr>
      <t xml:space="preserve">PR </t>
    </r>
    <r>
      <rPr>
        <i/>
        <sz val="10"/>
        <color theme="0" tint="-0.249977111117893"/>
        <rFont val="宋体"/>
        <family val="3"/>
        <charset val="134"/>
      </rPr>
      <t>并非出于修复目的</t>
    </r>
    <r>
      <rPr>
        <i/>
        <sz val="10"/>
        <color theme="0" tint="-0.249977111117893"/>
        <rFont val="Times New Roman"/>
        <family val="1"/>
      </rPr>
      <t xml:space="preserve">, </t>
    </r>
    <r>
      <rPr>
        <i/>
        <sz val="10"/>
        <color theme="0" tint="-0.249977111117893"/>
        <rFont val="宋体"/>
        <family val="3"/>
        <charset val="134"/>
      </rPr>
      <t>只是优化了输出信息提醒用户避免此种写法</t>
    </r>
    <phoneticPr fontId="1" type="noConversion"/>
  </si>
  <si>
    <t>context management</t>
    <phoneticPr fontId="1" type="noConversion"/>
  </si>
  <si>
    <r>
      <rPr>
        <sz val="10"/>
        <color theme="1"/>
        <rFont val="等线"/>
        <family val="1"/>
        <charset val="134"/>
      </rPr>
      <t>在被</t>
    </r>
    <r>
      <rPr>
        <sz val="10"/>
        <color theme="1"/>
        <rFont val="Times New Roman"/>
        <family val="1"/>
      </rPr>
      <t xml:space="preserve"> torch.compile </t>
    </r>
    <r>
      <rPr>
        <sz val="10"/>
        <color theme="1"/>
        <rFont val="等线"/>
        <family val="1"/>
        <charset val="134"/>
      </rPr>
      <t>修饰的函数内部又定义并装饰了一个嵌套函数（</t>
    </r>
    <r>
      <rPr>
        <sz val="10"/>
        <color theme="1"/>
        <rFont val="Times New Roman"/>
        <family val="1"/>
      </rPr>
      <t>decorated nested function</t>
    </r>
    <r>
      <rPr>
        <sz val="10"/>
        <color theme="1"/>
        <rFont val="等线"/>
        <family val="1"/>
        <charset val="134"/>
      </rPr>
      <t>），该程序结构违反了</t>
    </r>
    <r>
      <rPr>
        <sz val="10"/>
        <color theme="1"/>
        <rFont val="Times New Roman"/>
        <family val="1"/>
      </rPr>
      <t xml:space="preserve"> whole-graph capture</t>
    </r>
    <r>
      <rPr>
        <sz val="10"/>
        <color theme="1"/>
        <rFont val="等线"/>
        <family val="1"/>
        <charset val="134"/>
      </rPr>
      <t>（</t>
    </r>
    <r>
      <rPr>
        <sz val="10"/>
        <color theme="1"/>
        <rFont val="Times New Roman"/>
        <family val="1"/>
      </rPr>
      <t>fullgraph</t>
    </r>
    <r>
      <rPr>
        <sz val="10"/>
        <color theme="1"/>
        <rFont val="等线"/>
        <family val="1"/>
        <charset val="134"/>
      </rPr>
      <t>）所要求的内联与结构约束</t>
    </r>
    <phoneticPr fontId="1" type="noConversion"/>
  </si>
  <si>
    <r>
      <rPr>
        <sz val="10"/>
        <color rgb="FF00B050"/>
        <rFont val="Times New Roman"/>
        <family val="1"/>
      </rPr>
      <t>Decorated inner function</t>
    </r>
    <r>
      <rPr>
        <sz val="10"/>
        <color theme="1"/>
        <rFont val="Times New Roman"/>
        <family val="1"/>
      </rPr>
      <t xml:space="preserve"> conflicts with whole-graph capture constraints, triggering unsupported operation failure at compile time.</t>
    </r>
    <phoneticPr fontId="1" type="noConversion"/>
  </si>
  <si>
    <r>
      <rPr>
        <sz val="10"/>
        <color rgb="FF00B050"/>
        <rFont val="Times New Roman"/>
        <family val="1"/>
      </rPr>
      <t>Nested decorator with closures</t>
    </r>
    <r>
      <rPr>
        <sz val="10"/>
        <color theme="1"/>
        <rFont val="Times New Roman"/>
        <family val="1"/>
      </rPr>
      <t xml:space="preserve"> is unsupported in pre-dispatch, causing graph break and altered compilation behavior.</t>
    </r>
    <phoneticPr fontId="1" type="noConversion"/>
  </si>
  <si>
    <r>
      <rPr>
        <sz val="10"/>
        <color rgb="FF00B050"/>
        <rFont val="Times New Roman"/>
        <family val="1"/>
      </rPr>
      <t>Dynamic context dispatch</t>
    </r>
    <r>
      <rPr>
        <sz val="10"/>
        <color theme="1"/>
        <rFont val="Times New Roman"/>
        <family val="1"/>
      </rPr>
      <t xml:space="preserve"> overrides aren't captured; compiled graph bypasses mode-driven operator rewrites, causing behavior mismatch.</t>
    </r>
    <phoneticPr fontId="1" type="noConversion"/>
  </si>
  <si>
    <r>
      <t xml:space="preserve">Graph split ignores context manager stack, returning </t>
    </r>
    <r>
      <rPr>
        <sz val="10"/>
        <color rgb="FF00B050"/>
        <rFont val="Times New Roman"/>
        <family val="1"/>
      </rPr>
      <t>unmanaged context object</t>
    </r>
    <r>
      <rPr>
        <sz val="10"/>
        <color theme="1"/>
        <rFont val="Times New Roman"/>
        <family val="1"/>
      </rPr>
      <t xml:space="preserve"> and causing unsupported argument crash in downstream compilation.</t>
    </r>
    <phoneticPr fontId="1" type="noConversion"/>
  </si>
  <si>
    <t>decorator</t>
    <phoneticPr fontId="1" type="noConversion"/>
  </si>
  <si>
    <r>
      <rPr>
        <sz val="10"/>
        <color theme="1"/>
        <rFont val="宋体"/>
        <family val="1"/>
        <charset val="134"/>
      </rPr>
      <t>多个</t>
    </r>
    <r>
      <rPr>
        <sz val="10"/>
        <color theme="1"/>
        <rFont val="Times New Roman"/>
        <family val="1"/>
      </rPr>
      <t xml:space="preserve"> decorator </t>
    </r>
    <r>
      <rPr>
        <sz val="10"/>
        <color theme="1"/>
        <rFont val="宋体"/>
        <family val="1"/>
        <charset val="134"/>
      </rPr>
      <t>叠加使用时，其“编译控制语义”发生冲突，且冲突在</t>
    </r>
    <r>
      <rPr>
        <sz val="10"/>
        <color theme="1"/>
        <rFont val="Times New Roman"/>
        <family val="1"/>
      </rPr>
      <t xml:space="preserve"> Pre-dispatch </t>
    </r>
    <r>
      <rPr>
        <sz val="10"/>
        <color theme="1"/>
        <rFont val="宋体"/>
        <family val="1"/>
        <charset val="134"/>
      </rPr>
      <t>阶段没有被正确处理</t>
    </r>
    <phoneticPr fontId="1" type="noConversion"/>
  </si>
  <si>
    <r>
      <t xml:space="preserve">Dynamic eval-frame scoping </t>
    </r>
    <r>
      <rPr>
        <sz val="10"/>
        <color rgb="FF00B050"/>
        <rFont val="Times New Roman"/>
        <family val="1"/>
      </rPr>
      <t>ignores outer disable</t>
    </r>
    <r>
      <rPr>
        <sz val="10"/>
        <color theme="1"/>
        <rFont val="Times New Roman"/>
        <family val="1"/>
      </rPr>
      <t>, allowing nested compilation to proceed and raise runtime errors.</t>
    </r>
    <phoneticPr fontId="1" type="noConversion"/>
  </si>
  <si>
    <r>
      <t>Inlining policy</t>
    </r>
    <r>
      <rPr>
        <sz val="10"/>
        <color rgb="FF00B050"/>
        <rFont val="Times New Roman"/>
        <family val="1"/>
      </rPr>
      <t xml:space="preserve"> skips context manager methods</t>
    </r>
    <r>
      <rPr>
        <sz val="10"/>
        <color theme="1"/>
        <rFont val="Times New Roman"/>
        <family val="1"/>
      </rPr>
      <t>, leading Unsupported exception and compilation abort.</t>
    </r>
    <phoneticPr fontId="1" type="noConversion"/>
  </si>
  <si>
    <r>
      <rPr>
        <sz val="10"/>
        <color rgb="FF00B050"/>
        <rFont val="Times New Roman"/>
        <family val="1"/>
      </rPr>
      <t>Per-frame cache limits</t>
    </r>
    <r>
      <rPr>
        <sz val="10"/>
        <color theme="1"/>
        <rFont val="Times New Roman"/>
        <family val="1"/>
      </rPr>
      <t xml:space="preserve"> trigger continued inner-frame compilation, causing cascaded recompiles and excessive compile time.</t>
    </r>
    <phoneticPr fontId="1" type="noConversion"/>
  </si>
  <si>
    <r>
      <rPr>
        <sz val="10"/>
        <color rgb="FF00B050"/>
        <rFont val="Times New Roman"/>
        <family val="1"/>
      </rPr>
      <t>Decorator-generated context manager</t>
    </r>
    <r>
      <rPr>
        <sz val="10"/>
        <color theme="1"/>
        <rFont val="Times New Roman"/>
        <family val="1"/>
      </rPr>
      <t xml:space="preserve"> is skipped; pre-dispatch context-handling gaps cause compilation to abort with Unsupported.</t>
    </r>
    <phoneticPr fontId="1" type="noConversion"/>
  </si>
  <si>
    <r>
      <rPr>
        <sz val="10"/>
        <color rgb="FF00B050"/>
        <rFont val="Times New Roman"/>
        <family val="1"/>
      </rPr>
      <t>Lazy backend registry initialization</t>
    </r>
    <r>
      <rPr>
        <sz val="10"/>
        <color theme="1"/>
        <rFont val="Times New Roman"/>
        <family val="1"/>
      </rPr>
      <t xml:space="preserve"> causes list_backends to omit entrypoint-defined backends until queried.</t>
    </r>
    <phoneticPr fontId="1" type="noConversion"/>
  </si>
  <si>
    <r>
      <t xml:space="preserve">Constant folding </t>
    </r>
    <r>
      <rPr>
        <sz val="10"/>
        <color rgb="FF00B050"/>
        <rFont val="Times New Roman"/>
        <family val="1"/>
      </rPr>
      <t>ignores try/except semantics</t>
    </r>
    <r>
      <rPr>
        <sz val="10"/>
        <color theme="1"/>
        <rFont val="Times New Roman"/>
        <family val="1"/>
      </rPr>
      <t>; exceptions during folding abort compilation, breaking intended catch-and-default behavior.</t>
    </r>
    <phoneticPr fontId="1" type="noConversion"/>
  </si>
  <si>
    <r>
      <t xml:space="preserve">Output signature rewriting misclassifies </t>
    </r>
    <r>
      <rPr>
        <sz val="10"/>
        <color rgb="FF00B050"/>
        <rFont val="Times New Roman"/>
        <family val="1"/>
      </rPr>
      <t>mixed return types</t>
    </r>
    <r>
      <rPr>
        <sz val="10"/>
        <color theme="1"/>
        <rFont val="Times New Roman"/>
        <family val="1"/>
      </rPr>
      <t>, asserting when tensors appear unexpectedly during export.</t>
    </r>
    <phoneticPr fontId="1" type="noConversion"/>
  </si>
  <si>
    <r>
      <t xml:space="preserve">Argument flattening </t>
    </r>
    <r>
      <rPr>
        <sz val="10"/>
        <color rgb="FF00B050"/>
        <rFont val="Times New Roman"/>
        <family val="1"/>
      </rPr>
      <t>miscounts positional parameters</t>
    </r>
    <r>
      <rPr>
        <sz val="10"/>
        <color theme="1"/>
        <rFont val="Times New Roman"/>
        <family val="1"/>
      </rPr>
      <t>, indexing past available inputs during Dynamo export pre-dispatch analysis.</t>
    </r>
    <phoneticPr fontId="1" type="noConversion"/>
  </si>
  <si>
    <r>
      <t>Compiler fails to</t>
    </r>
    <r>
      <rPr>
        <sz val="10"/>
        <color rgb="FF00B050"/>
        <rFont val="Times New Roman"/>
        <family val="1"/>
      </rPr>
      <t xml:space="preserve"> reconstruct closure cell variables</t>
    </r>
    <r>
      <rPr>
        <sz val="10"/>
        <color theme="1"/>
        <rFont val="Times New Roman"/>
        <family val="1"/>
      </rPr>
      <t xml:space="preserve"> from nested functions, aborting during inlining.</t>
    </r>
    <phoneticPr fontId="1" type="noConversion"/>
  </si>
  <si>
    <r>
      <rPr>
        <sz val="10"/>
        <color rgb="FF00B050"/>
        <rFont val="Times New Roman"/>
        <family val="1"/>
      </rPr>
      <t>Context-managed dispatch</t>
    </r>
    <r>
      <rPr>
        <sz val="10"/>
        <color theme="1"/>
        <rFont val="Times New Roman"/>
        <family val="1"/>
      </rPr>
      <t xml:space="preserve"> alters operation path; Dynamo fails to model it, misclassifies the call, and triggers a graph break.</t>
    </r>
    <phoneticPr fontId="1" type="noConversion"/>
  </si>
  <si>
    <r>
      <rPr>
        <sz val="10"/>
        <color rgb="FF00B050"/>
        <rFont val="Times New Roman"/>
        <family val="1"/>
      </rPr>
      <t>Unmodeled library predicate</t>
    </r>
    <r>
      <rPr>
        <sz val="10"/>
        <color theme="1"/>
        <rFont val="Times New Roman"/>
        <family val="1"/>
      </rPr>
      <t xml:space="preserve"> cannot be inlined, forcing graph break and failure.</t>
    </r>
    <phoneticPr fontId="1" type="noConversion"/>
  </si>
  <si>
    <r>
      <t xml:space="preserve">Pre-dispatch inlining/skip classification mislabels a </t>
    </r>
    <r>
      <rPr>
        <sz val="10"/>
        <color rgb="FF00B050"/>
        <rFont val="Times New Roman"/>
        <family val="1"/>
      </rPr>
      <t>standalone function</t>
    </r>
    <r>
      <rPr>
        <sz val="10"/>
        <color theme="1"/>
        <rFont val="Times New Roman"/>
        <family val="1"/>
      </rPr>
      <t>, triggering an assertion crash.</t>
    </r>
    <phoneticPr fontId="1" type="noConversion"/>
  </si>
  <si>
    <r>
      <t xml:space="preserve">Attribute resolution during graph capture bypasses </t>
    </r>
    <r>
      <rPr>
        <sz val="10"/>
        <color rgb="FF00B050"/>
        <rFont val="Times New Roman"/>
        <family val="1"/>
      </rPr>
      <t>try/except</t>
    </r>
    <r>
      <rPr>
        <sz val="10"/>
        <color theme="1"/>
        <rFont val="Times New Roman"/>
        <family val="1"/>
      </rPr>
      <t>, causing unhandled AttributeError instead of falling back.</t>
    </r>
    <phoneticPr fontId="1" type="noConversion"/>
  </si>
  <si>
    <r>
      <rPr>
        <sz val="10"/>
        <color theme="1"/>
        <rFont val="宋体"/>
        <family val="1"/>
        <charset val="134"/>
      </rPr>
      <t>对“外部函数对象（</t>
    </r>
    <r>
      <rPr>
        <sz val="10"/>
        <color theme="1"/>
        <rFont val="Times New Roman"/>
        <family val="1"/>
      </rPr>
      <t>external function object</t>
    </r>
    <r>
      <rPr>
        <sz val="10"/>
        <color theme="1"/>
        <rFont val="宋体"/>
        <family val="1"/>
        <charset val="134"/>
      </rPr>
      <t>）”的分类与处理出现错误，导致错误的内联</t>
    </r>
    <r>
      <rPr>
        <sz val="10"/>
        <color theme="1"/>
        <rFont val="Times New Roman"/>
        <family val="1"/>
      </rPr>
      <t>/</t>
    </r>
    <r>
      <rPr>
        <sz val="10"/>
        <color theme="1"/>
        <rFont val="宋体"/>
        <family val="1"/>
        <charset val="134"/>
      </rPr>
      <t>跳过决策，最终触发断言崩溃</t>
    </r>
    <phoneticPr fontId="1" type="noConversion"/>
  </si>
  <si>
    <r>
      <rPr>
        <sz val="10"/>
        <color rgb="FF00B050"/>
        <rFont val="Times New Roman"/>
        <family val="1"/>
      </rPr>
      <t>List outputs</t>
    </r>
    <r>
      <rPr>
        <sz val="10"/>
        <color theme="1"/>
        <rFont val="Times New Roman"/>
        <family val="1"/>
      </rPr>
      <t xml:space="preserve"> require an unflatten helper marked untraceable; fullgraph disallows graph breaks, triggering a crash.</t>
    </r>
    <phoneticPr fontId="1" type="noConversion"/>
  </si>
  <si>
    <r>
      <rPr>
        <sz val="10"/>
        <color rgb="FF00B050"/>
        <rFont val="Times New Roman"/>
        <family val="1"/>
      </rPr>
      <t>Environment introspection and RNG changes</t>
    </r>
    <r>
      <rPr>
        <sz val="10"/>
        <color theme="1"/>
        <rFont val="Times New Roman"/>
        <family val="1"/>
      </rPr>
      <t xml:space="preserve"> force graph breaks since side-effects and runtime queries aren’t modeled in-graph.</t>
    </r>
    <phoneticPr fontId="1" type="noConversion"/>
  </si>
  <si>
    <r>
      <rPr>
        <sz val="10"/>
        <color rgb="FF00B050"/>
        <rFont val="Times New Roman"/>
        <family val="1"/>
      </rPr>
      <t>Context-managed RNG state changes</t>
    </r>
    <r>
      <rPr>
        <sz val="10"/>
        <color theme="1"/>
        <rFont val="Times New Roman"/>
        <family val="1"/>
      </rPr>
      <t xml:space="preserve"> aren’t tracked; missing source metadata triggers a TorchDynamo assertion during compilation.</t>
    </r>
    <phoneticPr fontId="1" type="noConversion"/>
  </si>
  <si>
    <r>
      <rPr>
        <sz val="10"/>
        <color rgb="FF00B050"/>
        <rFont val="Times New Roman"/>
        <family val="1"/>
      </rPr>
      <t>Synthesized constructor</t>
    </r>
    <r>
      <rPr>
        <sz val="10"/>
        <color theme="1"/>
        <rFont val="Times New Roman"/>
        <family val="1"/>
      </rPr>
      <t xml:space="preserve"> is skipped during symbolic instantiation, leaving fields unset and causing attribute access to fail in comparisons.</t>
    </r>
    <phoneticPr fontId="1" type="noConversion"/>
  </si>
  <si>
    <t>global state</t>
    <phoneticPr fontId="1" type="noConversion"/>
  </si>
  <si>
    <r>
      <rPr>
        <sz val="10"/>
        <color rgb="FF00B050"/>
        <rFont val="Times New Roman"/>
        <family val="1"/>
      </rPr>
      <t>Out-argument</t>
    </r>
    <r>
      <rPr>
        <sz val="10"/>
        <color theme="1"/>
        <rFont val="Times New Roman"/>
        <family val="1"/>
      </rPr>
      <t xml:space="preserve"> side-effect modeling with scalars produces a CPU result, causing a copy-to-meta failure during fake execution.</t>
    </r>
    <phoneticPr fontId="1" type="noConversion"/>
  </si>
  <si>
    <r>
      <t xml:space="preserve">out= </t>
    </r>
    <r>
      <rPr>
        <sz val="10"/>
        <color theme="1"/>
        <rFont val="宋体"/>
        <family val="1"/>
        <charset val="134"/>
      </rPr>
      <t>参数意味着：算子</t>
    </r>
    <r>
      <rPr>
        <sz val="10"/>
        <color theme="1"/>
        <rFont val="Times New Roman"/>
        <family val="1"/>
      </rPr>
      <t xml:space="preserve"> </t>
    </r>
    <r>
      <rPr>
        <sz val="10"/>
        <color theme="1"/>
        <rFont val="宋体"/>
        <family val="1"/>
        <charset val="134"/>
      </rPr>
      <t>不只返回新</t>
    </r>
    <r>
      <rPr>
        <sz val="10"/>
        <color theme="1"/>
        <rFont val="Times New Roman"/>
        <family val="1"/>
      </rPr>
      <t xml:space="preserve"> Tensor</t>
    </r>
    <r>
      <rPr>
        <sz val="10"/>
        <color theme="1"/>
        <rFont val="等线"/>
        <family val="1"/>
        <charset val="134"/>
      </rPr>
      <t>，</t>
    </r>
    <r>
      <rPr>
        <sz val="10"/>
        <color theme="1"/>
        <rFont val="宋体"/>
        <family val="1"/>
        <charset val="134"/>
      </rPr>
      <t>还会</t>
    </r>
    <r>
      <rPr>
        <sz val="10"/>
        <color theme="1"/>
        <rFont val="Times New Roman"/>
        <family val="1"/>
      </rPr>
      <t xml:space="preserve"> </t>
    </r>
    <r>
      <rPr>
        <sz val="10"/>
        <color theme="1"/>
        <rFont val="宋体"/>
        <family val="1"/>
        <charset val="134"/>
      </rPr>
      <t>对已有</t>
    </r>
    <r>
      <rPr>
        <sz val="10"/>
        <color theme="1"/>
        <rFont val="Times New Roman"/>
        <family val="1"/>
      </rPr>
      <t xml:space="preserve"> Tensor </t>
    </r>
    <r>
      <rPr>
        <sz val="10"/>
        <color theme="1"/>
        <rFont val="宋体"/>
        <family val="1"/>
        <charset val="134"/>
      </rPr>
      <t xml:space="preserve">产生副作用（写入）
</t>
    </r>
    <r>
      <rPr>
        <sz val="10"/>
        <color theme="1"/>
        <rFont val="等线"/>
        <family val="1"/>
        <charset val="134"/>
      </rPr>
      <t>这个</t>
    </r>
    <r>
      <rPr>
        <sz val="10"/>
        <color theme="1"/>
        <rFont val="Times New Roman"/>
        <family val="1"/>
      </rPr>
      <t xml:space="preserve"> issue </t>
    </r>
    <r>
      <rPr>
        <sz val="10"/>
        <color theme="1"/>
        <rFont val="等线"/>
        <family val="1"/>
        <charset val="134"/>
      </rPr>
      <t>中的问题是：当输入包含</t>
    </r>
    <r>
      <rPr>
        <sz val="10"/>
        <color theme="1"/>
        <rFont val="Times New Roman"/>
        <family val="1"/>
      </rPr>
      <t xml:space="preserve"> scalar </t>
    </r>
    <r>
      <rPr>
        <sz val="10"/>
        <color theme="1"/>
        <rFont val="等线"/>
        <family val="1"/>
        <charset val="134"/>
      </rPr>
      <t>时，</t>
    </r>
    <r>
      <rPr>
        <sz val="10"/>
        <color theme="1"/>
        <rFont val="Times New Roman"/>
        <family val="1"/>
      </rPr>
      <t xml:space="preserve">side-effect </t>
    </r>
    <r>
      <rPr>
        <sz val="10"/>
        <color theme="1"/>
        <rFont val="等线"/>
        <family val="1"/>
        <charset val="134"/>
      </rPr>
      <t>建模路径</t>
    </r>
    <r>
      <rPr>
        <sz val="10"/>
        <color theme="1"/>
        <rFont val="Times New Roman"/>
        <family val="1"/>
      </rPr>
      <t xml:space="preserve"> </t>
    </r>
    <r>
      <rPr>
        <sz val="10"/>
        <color theme="1"/>
        <rFont val="等线"/>
        <family val="1"/>
        <charset val="134"/>
      </rPr>
      <t>错误地产生了一个</t>
    </r>
    <r>
      <rPr>
        <sz val="10"/>
        <color theme="1"/>
        <rFont val="Times New Roman"/>
        <family val="1"/>
      </rPr>
      <t xml:space="preserve"> CPU tensor </t>
    </r>
    <r>
      <rPr>
        <sz val="10"/>
        <color theme="1"/>
        <rFont val="等线"/>
        <family val="1"/>
        <charset val="134"/>
      </rPr>
      <t>结果，而不是一个</t>
    </r>
    <r>
      <rPr>
        <sz val="10"/>
        <color theme="1"/>
        <rFont val="Times New Roman"/>
        <family val="1"/>
      </rPr>
      <t xml:space="preserve"> meta / fake tensor</t>
    </r>
    <phoneticPr fontId="1" type="noConversion"/>
  </si>
  <si>
    <r>
      <t xml:space="preserve">Activation checkpoint's </t>
    </r>
    <r>
      <rPr>
        <sz val="10"/>
        <color rgb="FF00B050"/>
        <rFont val="Times New Roman"/>
        <family val="1"/>
      </rPr>
      <t>RNG state context</t>
    </r>
    <r>
      <rPr>
        <sz val="10"/>
        <color theme="1"/>
        <rFont val="Times New Roman"/>
        <family val="1"/>
      </rPr>
      <t xml:space="preserve"> introduces real tensors during AOT tracing, violating FakeTensor assumptions and failing compilation.</t>
    </r>
    <phoneticPr fontId="1" type="noConversion"/>
  </si>
  <si>
    <r>
      <t xml:space="preserve">Compiled execution reads original object state, ignoring </t>
    </r>
    <r>
      <rPr>
        <sz val="10"/>
        <color rgb="FF00B050"/>
        <rFont val="Times New Roman"/>
        <family val="1"/>
      </rPr>
      <t>temporary attribute substitutions</t>
    </r>
    <r>
      <rPr>
        <sz val="10"/>
        <color theme="1"/>
        <rFont val="Times New Roman"/>
        <family val="1"/>
      </rPr>
      <t>, yielding non-functional results compared to eager behavior.</t>
    </r>
    <phoneticPr fontId="1" type="noConversion"/>
  </si>
  <si>
    <r>
      <rPr>
        <sz val="10"/>
        <color rgb="FF00B050"/>
        <rFont val="Times New Roman"/>
        <family val="1"/>
      </rPr>
      <t>Tensor subclass creation traced as view;</t>
    </r>
    <r>
      <rPr>
        <sz val="10"/>
        <color theme="1"/>
        <rFont val="Times New Roman"/>
        <family val="1"/>
      </rPr>
      <t xml:space="preserve"> later in-place mutation trips autograd checks, aborting compilation.</t>
    </r>
    <phoneticPr fontId="1" type="noConversion"/>
  </si>
  <si>
    <r>
      <rPr>
        <sz val="10"/>
        <color rgb="FF00B050"/>
        <rFont val="Times New Roman"/>
        <family val="1"/>
      </rPr>
      <t>Global state mutations</t>
    </r>
    <r>
      <rPr>
        <sz val="10"/>
        <color theme="1"/>
        <rFont val="Times New Roman"/>
        <family val="1"/>
      </rPr>
      <t xml:space="preserve"> in imported module are redundantly tracked, breaking Dynamo’s side-effect model with an assertion.</t>
    </r>
    <phoneticPr fontId="1" type="noConversion"/>
  </si>
  <si>
    <r>
      <rPr>
        <sz val="10"/>
        <color rgb="FF00B050"/>
        <rFont val="Times New Roman"/>
        <family val="1"/>
      </rPr>
      <t>List mutation during generator iteration</t>
    </r>
    <r>
      <rPr>
        <sz val="10"/>
        <color theme="1"/>
        <rFont val="Times New Roman"/>
        <family val="1"/>
      </rPr>
      <t xml:space="preserve"> breaks side-effect tracking, corrupting shape association in fake execution and causing a channel mismatch crash.</t>
    </r>
    <phoneticPr fontId="1" type="noConversion"/>
  </si>
  <si>
    <r>
      <t xml:space="preserve">Compiled graph caches parameters; </t>
    </r>
    <r>
      <rPr>
        <sz val="10"/>
        <color rgb="FF00B050"/>
        <rFont val="Times New Roman"/>
        <family val="1"/>
      </rPr>
      <t>subsequent attribute reassignment</t>
    </r>
    <r>
      <rPr>
        <sz val="10"/>
        <color theme="1"/>
        <rFont val="Times New Roman"/>
        <family val="1"/>
      </rPr>
      <t xml:space="preserve"> isn't tracked, so later executions ignore updated state.</t>
    </r>
    <phoneticPr fontId="1" type="noConversion"/>
  </si>
  <si>
    <t>in-place</t>
    <phoneticPr fontId="1" type="noConversion"/>
  </si>
  <si>
    <r>
      <rPr>
        <sz val="10"/>
        <color rgb="FF00B050"/>
        <rFont val="Times New Roman"/>
        <family val="1"/>
      </rPr>
      <t>In-place shape change</t>
    </r>
    <r>
      <rPr>
        <sz val="10"/>
        <color theme="1"/>
        <rFont val="Times New Roman"/>
        <family val="1"/>
      </rPr>
      <t xml:space="preserve"> on a tracked tensor breaks dynamic-shape guard generation, causing an index error and compile-time abort.</t>
    </r>
    <phoneticPr fontId="1" type="noConversion"/>
  </si>
  <si>
    <r>
      <t xml:space="preserve">out-parameter </t>
    </r>
    <r>
      <rPr>
        <sz val="10"/>
        <color theme="1"/>
        <rFont val="宋体"/>
        <family val="1"/>
        <charset val="134"/>
      </rPr>
      <t>引入的隐式形状变更（</t>
    </r>
    <r>
      <rPr>
        <sz val="10"/>
        <color theme="1"/>
        <rFont val="Times New Roman"/>
        <family val="1"/>
      </rPr>
      <t>implicit resize</t>
    </r>
    <r>
      <rPr>
        <sz val="10"/>
        <color theme="1"/>
        <rFont val="宋体"/>
        <family val="1"/>
        <charset val="134"/>
      </rPr>
      <t>）未被正确建模</t>
    </r>
    <phoneticPr fontId="1" type="noConversion"/>
  </si>
  <si>
    <r>
      <t xml:space="preserve">Compiler fails to model implicit resize from </t>
    </r>
    <r>
      <rPr>
        <sz val="10"/>
        <color rgb="FF00B050"/>
        <rFont val="Times New Roman"/>
        <family val="1"/>
      </rPr>
      <t>output-argument mutation</t>
    </r>
    <r>
      <rPr>
        <sz val="10"/>
        <color theme="1"/>
        <rFont val="Times New Roman"/>
        <family val="1"/>
      </rPr>
      <t>, returning original buffer shape instead of eager's resized scalar.</t>
    </r>
    <phoneticPr fontId="1" type="noConversion"/>
  </si>
  <si>
    <r>
      <rPr>
        <sz val="10"/>
        <color theme="1"/>
        <rFont val="宋体"/>
        <family val="1"/>
        <charset val="134"/>
      </rPr>
      <t>在一个生命周期很短的局部作用域中触发</t>
    </r>
    <r>
      <rPr>
        <sz val="10"/>
        <color theme="1"/>
        <rFont val="Times New Roman"/>
        <family val="1"/>
      </rPr>
      <t xml:space="preserve"> torch.compile / Dynamo </t>
    </r>
    <r>
      <rPr>
        <sz val="10"/>
        <color theme="1"/>
        <rFont val="宋体"/>
        <family val="1"/>
        <charset val="134"/>
      </rPr>
      <t>编译</t>
    </r>
    <phoneticPr fontId="1" type="noConversion"/>
  </si>
  <si>
    <r>
      <t xml:space="preserve">graph break inside </t>
    </r>
    <r>
      <rPr>
        <sz val="10"/>
        <color rgb="FF00B050"/>
        <rFont val="Times New Roman"/>
        <family val="1"/>
      </rPr>
      <t>nested</t>
    </r>
    <r>
      <rPr>
        <sz val="10"/>
        <color theme="1"/>
        <rFont val="Times New Roman"/>
        <family val="1"/>
      </rPr>
      <t xml:space="preserve"> casting and autograd contexts</t>
    </r>
    <phoneticPr fontId="1" type="noConversion"/>
  </si>
  <si>
    <r>
      <rPr>
        <sz val="10"/>
        <color rgb="FF00B050"/>
        <rFont val="Times New Roman"/>
        <family val="1"/>
      </rPr>
      <t>Attribute container reassignment and subsequent mutation</t>
    </r>
    <r>
      <rPr>
        <sz val="10"/>
        <color theme="1"/>
        <rFont val="Times New Roman"/>
        <family val="1"/>
      </rPr>
      <t xml:space="preserve"> are not preserved, causing divergent object state under compilation.</t>
    </r>
    <phoneticPr fontId="1" type="noConversion"/>
  </si>
  <si>
    <r>
      <rPr>
        <sz val="10"/>
        <color rgb="FF00B050"/>
        <rFont val="Times New Roman"/>
        <family val="1"/>
      </rPr>
      <t>User-assigned attribute</t>
    </r>
    <r>
      <rPr>
        <sz val="10"/>
        <color theme="1"/>
        <rFont val="Times New Roman"/>
        <family val="1"/>
      </rPr>
      <t xml:space="preserve"> on an object isn't tracked; proxy lacks it, causing method lookup failure during compilation.</t>
    </r>
    <phoneticPr fontId="1" type="noConversion"/>
  </si>
  <si>
    <r>
      <t>Hook</t>
    </r>
    <r>
      <rPr>
        <sz val="10"/>
        <color rgb="FF00B050"/>
        <rFont val="Times New Roman"/>
        <family val="1"/>
      </rPr>
      <t xml:space="preserve"> mutates captured list</t>
    </r>
    <r>
      <rPr>
        <sz val="10"/>
        <color theme="1"/>
        <rFont val="Times New Roman"/>
        <family val="1"/>
      </rPr>
      <t>; incomplete side-effect and closure handling generates wrong graph wrapper, causing IndexError at runtime.</t>
    </r>
    <phoneticPr fontId="1" type="noConversion"/>
  </si>
  <si>
    <r>
      <t xml:space="preserve">closure </t>
    </r>
    <r>
      <rPr>
        <sz val="10"/>
        <color theme="1"/>
        <rFont val="宋体"/>
        <family val="1"/>
        <charset val="134"/>
      </rPr>
      <t>变量被</t>
    </r>
    <r>
      <rPr>
        <sz val="10"/>
        <color theme="1"/>
        <rFont val="Times New Roman"/>
        <family val="1"/>
      </rPr>
      <t xml:space="preserve"> callback </t>
    </r>
    <r>
      <rPr>
        <sz val="10"/>
        <color theme="1"/>
        <rFont val="宋体"/>
        <family val="1"/>
        <charset val="134"/>
      </rPr>
      <t>修改导致的</t>
    </r>
    <r>
      <rPr>
        <sz val="10"/>
        <color theme="1"/>
        <rFont val="Times New Roman"/>
        <family val="1"/>
      </rPr>
      <t xml:space="preserve"> side-effect </t>
    </r>
    <r>
      <rPr>
        <sz val="10"/>
        <color theme="1"/>
        <rFont val="宋体"/>
        <family val="1"/>
        <charset val="134"/>
      </rPr>
      <t>建模缺陷</t>
    </r>
    <phoneticPr fontId="1" type="noConversion"/>
  </si>
  <si>
    <r>
      <rPr>
        <sz val="10"/>
        <color rgb="FF00B050"/>
        <rFont val="Times New Roman"/>
        <family val="1"/>
      </rPr>
      <t xml:space="preserve">Closure mutation </t>
    </r>
    <r>
      <rPr>
        <sz val="10"/>
        <color theme="1"/>
        <rFont val="Times New Roman"/>
        <family val="1"/>
      </rPr>
      <t>tracking by source names fails when multiple closures share a cell, producing stale reads under compilation.</t>
    </r>
    <phoneticPr fontId="1" type="noConversion"/>
  </si>
  <si>
    <t>nest/closures</t>
    <phoneticPr fontId="1" type="noConversion"/>
  </si>
  <si>
    <r>
      <t xml:space="preserve">Resetting compiler caches leaves compiled function holding stale references; untracked </t>
    </r>
    <r>
      <rPr>
        <sz val="10"/>
        <color rgb="FF00B050"/>
        <rFont val="Times New Roman"/>
        <family val="1"/>
      </rPr>
      <t>global state mutation</t>
    </r>
    <r>
      <rPr>
        <sz val="10"/>
        <color theme="1"/>
        <rFont val="Times New Roman"/>
        <family val="1"/>
      </rPr>
      <t xml:space="preserve"> causes use-after-free and crash.</t>
    </r>
    <phoneticPr fontId="1" type="noConversion"/>
  </si>
  <si>
    <r>
      <t xml:space="preserve">attribute lookup on </t>
    </r>
    <r>
      <rPr>
        <sz val="10"/>
        <color rgb="FF00B050"/>
        <rFont val="Times New Roman"/>
        <family val="1"/>
      </rPr>
      <t>partially initialized instance</t>
    </r>
    <phoneticPr fontId="1" type="noConversion"/>
  </si>
  <si>
    <r>
      <rPr>
        <sz val="10"/>
        <color rgb="FF00B050"/>
        <rFont val="Times New Roman"/>
        <family val="1"/>
      </rPr>
      <t>Deferred initialization</t>
    </r>
    <r>
      <rPr>
        <sz val="10"/>
        <color theme="1"/>
        <rFont val="Times New Roman"/>
        <family val="1"/>
      </rPr>
      <t xml:space="preserve"> mutates module state between traces, invalidating speculation log and causing divergent inlining decisions and assertion failure.</t>
    </r>
    <phoneticPr fontId="1" type="noConversion"/>
  </si>
  <si>
    <r>
      <t xml:space="preserve">Mode-based dispatch exposes class-level mutation; compiler lacks side-effect support for </t>
    </r>
    <r>
      <rPr>
        <sz val="10"/>
        <color rgb="FF00B050"/>
        <rFont val="Times New Roman"/>
        <family val="1"/>
      </rPr>
      <t>setattr</t>
    </r>
    <r>
      <rPr>
        <sz val="10"/>
        <color theme="1"/>
        <rFont val="Times New Roman"/>
        <family val="1"/>
      </rPr>
      <t xml:space="preserve"> under fullgraph, causing tracing to abort.</t>
    </r>
    <phoneticPr fontId="1" type="noConversion"/>
  </si>
  <si>
    <r>
      <rPr>
        <sz val="10"/>
        <color theme="1"/>
        <rFont val="宋体"/>
        <family val="1"/>
        <charset val="134"/>
      </rPr>
      <t>对象在构造阶段被访问未初始化属性导致的</t>
    </r>
    <r>
      <rPr>
        <sz val="10"/>
        <color theme="1"/>
        <rFont val="Times New Roman"/>
        <family val="1"/>
      </rPr>
      <t xml:space="preserve"> side-effect/crash </t>
    </r>
    <r>
      <rPr>
        <sz val="10"/>
        <color theme="1"/>
        <rFont val="宋体"/>
        <family val="1"/>
        <charset val="134"/>
      </rPr>
      <t>缺陷</t>
    </r>
    <phoneticPr fontId="1" type="noConversion"/>
  </si>
  <si>
    <r>
      <t xml:space="preserve">Compiler merges or reorders forward/backward mutations, </t>
    </r>
    <r>
      <rPr>
        <sz val="10"/>
        <color rgb="FF00B050"/>
        <rFont val="Times New Roman"/>
        <family val="1"/>
      </rPr>
      <t>breaking expected sequencing</t>
    </r>
    <r>
      <rPr>
        <sz val="10"/>
        <color theme="1"/>
        <rFont val="Times New Roman"/>
        <family val="1"/>
      </rPr>
      <t xml:space="preserve"> due to flawed side-effect modeling of autograd state.</t>
    </r>
    <phoneticPr fontId="1" type="noConversion"/>
  </si>
  <si>
    <r>
      <rPr>
        <sz val="10"/>
        <color rgb="FF00B050"/>
        <rFont val="Times New Roman"/>
        <family val="1"/>
      </rPr>
      <t>in-place attribute reassignment</t>
    </r>
    <r>
      <rPr>
        <sz val="10"/>
        <color theme="1"/>
        <rFont val="Times New Roman"/>
        <family val="1"/>
      </rPr>
      <t xml:space="preserve"> across tensor dtype</t>
    </r>
    <phoneticPr fontId="1" type="noConversion"/>
  </si>
  <si>
    <r>
      <rPr>
        <sz val="10"/>
        <color rgb="FF00B050"/>
        <rFont val="Times New Roman"/>
        <family val="1"/>
      </rPr>
      <t>Custom attribute mutation</t>
    </r>
    <r>
      <rPr>
        <sz val="10"/>
        <color theme="1"/>
        <rFont val="Times New Roman"/>
        <family val="1"/>
      </rPr>
      <t xml:space="preserve"> handler is ignored due to incomplete side-effect modeling, leading to mismatched object state.</t>
    </r>
    <phoneticPr fontId="1" type="noConversion"/>
  </si>
  <si>
    <r>
      <rPr>
        <sz val="10"/>
        <color rgb="FF00B050"/>
        <rFont val="Times New Roman"/>
        <family val="1"/>
      </rPr>
      <t>Mutating backward inputs</t>
    </r>
    <r>
      <rPr>
        <sz val="10"/>
        <color theme="1"/>
        <rFont val="Times New Roman"/>
        <family val="1"/>
      </rPr>
      <t xml:space="preserve"> violates no-mutation modeling; functionalization detects mutation and aborts compilation with an assertion.</t>
    </r>
    <phoneticPr fontId="1" type="noConversion"/>
  </si>
  <si>
    <r>
      <t xml:space="preserve">Tensor </t>
    </r>
    <r>
      <rPr>
        <sz val="10"/>
        <color theme="1"/>
        <rFont val="宋体"/>
        <family val="1"/>
        <charset val="134"/>
      </rPr>
      <t>在前向传播阶段被修改（</t>
    </r>
    <r>
      <rPr>
        <sz val="10"/>
        <color theme="1"/>
        <rFont val="Times New Roman"/>
        <family val="1"/>
      </rPr>
      <t xml:space="preserve">in-place mutation </t>
    </r>
    <r>
      <rPr>
        <sz val="10"/>
        <color theme="1"/>
        <rFont val="宋体"/>
        <family val="1"/>
        <charset val="134"/>
      </rPr>
      <t>或</t>
    </r>
    <r>
      <rPr>
        <sz val="10"/>
        <color theme="1"/>
        <rFont val="Times New Roman"/>
        <family val="1"/>
      </rPr>
      <t xml:space="preserve"> out= </t>
    </r>
    <r>
      <rPr>
        <sz val="10"/>
        <color theme="1"/>
        <rFont val="宋体"/>
        <family val="1"/>
        <charset val="134"/>
      </rPr>
      <t>写入）同一</t>
    </r>
    <r>
      <rPr>
        <sz val="10"/>
        <color theme="1"/>
        <rFont val="Times New Roman"/>
        <family val="1"/>
      </rPr>
      <t xml:space="preserve"> Tensor </t>
    </r>
    <r>
      <rPr>
        <sz val="10"/>
        <color theme="1"/>
        <rFont val="宋体"/>
        <family val="1"/>
        <charset val="134"/>
      </rPr>
      <t>在反向传播阶段也可能被访问或修改</t>
    </r>
    <r>
      <rPr>
        <sz val="10"/>
        <color theme="1"/>
        <rFont val="Times New Roman"/>
        <family val="1"/>
      </rPr>
      <t xml:space="preserve">
Autograd </t>
    </r>
    <r>
      <rPr>
        <sz val="10"/>
        <color theme="1"/>
        <rFont val="宋体"/>
        <family val="1"/>
        <charset val="134"/>
      </rPr>
      <t>的状态依赖操作顺序，</t>
    </r>
    <r>
      <rPr>
        <sz val="10"/>
        <color theme="1"/>
        <rFont val="等线"/>
        <family val="1"/>
        <charset val="134"/>
      </rPr>
      <t>延迟写入</t>
    </r>
    <r>
      <rPr>
        <sz val="10"/>
        <color theme="1"/>
        <rFont val="宋体"/>
        <family val="1"/>
        <charset val="134"/>
      </rPr>
      <t>会影响梯度累加或中间保存的</t>
    </r>
    <r>
      <rPr>
        <sz val="10"/>
        <color theme="1"/>
        <rFont val="Times New Roman"/>
        <family val="1"/>
      </rPr>
      <t xml:space="preserve"> grad_fn </t>
    </r>
    <r>
      <rPr>
        <sz val="10"/>
        <color theme="1"/>
        <rFont val="宋体"/>
        <family val="1"/>
        <charset val="134"/>
      </rPr>
      <t>结果</t>
    </r>
    <phoneticPr fontId="1" type="noConversion"/>
  </si>
  <si>
    <r>
      <rPr>
        <sz val="10"/>
        <color rgb="FF00B050"/>
        <rFont val="Times New Roman"/>
        <family val="1"/>
      </rPr>
      <t>in-place mutation</t>
    </r>
    <r>
      <rPr>
        <sz val="10"/>
        <color theme="1"/>
        <rFont val="Times New Roman"/>
        <family val="1"/>
      </rPr>
      <t xml:space="preserve"> inside user-defined differentiation routine</t>
    </r>
    <phoneticPr fontId="1" type="noConversion"/>
  </si>
  <si>
    <r>
      <rPr>
        <sz val="10"/>
        <color rgb="FF00B050"/>
        <rFont val="Times New Roman"/>
        <family val="1"/>
      </rPr>
      <t>Offloaded parameter</t>
    </r>
    <r>
      <rPr>
        <sz val="10"/>
        <color theme="1"/>
        <rFont val="Times New Roman"/>
        <family val="1"/>
      </rPr>
      <t xml:space="preserve"> appears empty during tracing; side-effect modeling fails, yielding gradient size mismatch and crash.</t>
    </r>
    <phoneticPr fontId="1" type="noConversion"/>
  </si>
  <si>
    <r>
      <rPr>
        <sz val="10"/>
        <color theme="1"/>
        <rFont val="宋体"/>
        <family val="1"/>
        <charset val="134"/>
      </rPr>
      <t>对被</t>
    </r>
    <r>
      <rPr>
        <sz val="10"/>
        <color theme="1"/>
        <rFont val="Times New Roman"/>
        <family val="1"/>
      </rPr>
      <t xml:space="preserve"> offload</t>
    </r>
    <r>
      <rPr>
        <sz val="10"/>
        <color theme="1"/>
        <rFont val="宋体"/>
        <family val="1"/>
        <charset val="134"/>
      </rPr>
      <t>（</t>
    </r>
    <r>
      <rPr>
        <sz val="10"/>
        <color theme="1"/>
        <rFont val="Times New Roman"/>
        <family val="1"/>
      </rPr>
      <t xml:space="preserve">CPU/GPU </t>
    </r>
    <r>
      <rPr>
        <sz val="10"/>
        <color theme="1"/>
        <rFont val="宋体"/>
        <family val="1"/>
        <charset val="134"/>
      </rPr>
      <t>以外存储）的</t>
    </r>
    <r>
      <rPr>
        <sz val="10"/>
        <color theme="1"/>
        <rFont val="Times New Roman"/>
        <family val="1"/>
      </rPr>
      <t xml:space="preserve"> tensor </t>
    </r>
    <r>
      <rPr>
        <sz val="10"/>
        <color theme="1"/>
        <rFont val="宋体"/>
        <family val="1"/>
        <charset val="134"/>
      </rPr>
      <t>参数进行回调</t>
    </r>
    <r>
      <rPr>
        <sz val="10"/>
        <color theme="1"/>
        <rFont val="Times New Roman"/>
        <family val="1"/>
      </rPr>
      <t xml:space="preserve"> tracing </t>
    </r>
    <r>
      <rPr>
        <sz val="10"/>
        <color theme="1"/>
        <rFont val="宋体"/>
        <family val="1"/>
        <charset val="134"/>
      </rPr>
      <t>时，副作用建模不完整导致的崩溃</t>
    </r>
    <phoneticPr fontId="1" type="noConversion"/>
  </si>
  <si>
    <r>
      <rPr>
        <sz val="10"/>
        <color rgb="FF00B050"/>
        <rFont val="Times New Roman"/>
        <family val="1"/>
      </rPr>
      <t>Context manager</t>
    </r>
    <r>
      <rPr>
        <sz val="10"/>
        <color theme="1"/>
        <rFont val="Times New Roman"/>
        <family val="1"/>
      </rPr>
      <t xml:space="preserve"> handling resets </t>
    </r>
    <r>
      <rPr>
        <sz val="10"/>
        <color rgb="FF00B050"/>
        <rFont val="Times New Roman"/>
        <family val="1"/>
      </rPr>
      <t>global warning state</t>
    </r>
    <r>
      <rPr>
        <sz val="10"/>
        <color theme="1"/>
        <rFont val="Times New Roman"/>
        <family val="1"/>
      </rPr>
      <t>, causing repeated warnings during compiled execution versus eager.</t>
    </r>
    <phoneticPr fontId="1" type="noConversion"/>
  </si>
  <si>
    <r>
      <rPr>
        <sz val="10"/>
        <color rgb="FF00B050"/>
        <rFont val="Times New Roman"/>
        <family val="1"/>
      </rPr>
      <t>Global mutation in nested call</t>
    </r>
    <r>
      <rPr>
        <sz val="10"/>
        <color theme="1"/>
        <rFont val="Times New Roman"/>
        <family val="1"/>
      </rPr>
      <t xml:space="preserve"> is not propagated across frames, due to per-frame global state tracking, yielding stale values.</t>
    </r>
    <phoneticPr fontId="1" type="noConversion"/>
  </si>
  <si>
    <r>
      <rPr>
        <i/>
        <sz val="10"/>
        <color theme="0" tint="-0.249977111117893"/>
        <rFont val="宋体"/>
        <family val="3"/>
        <charset val="134"/>
      </rPr>
      <t>自行关闭</t>
    </r>
    <r>
      <rPr>
        <i/>
        <sz val="10"/>
        <color theme="0" tint="-0.249977111117893"/>
        <rFont val="Times New Roman"/>
        <family val="1"/>
      </rPr>
      <t xml:space="preserve">, </t>
    </r>
    <r>
      <rPr>
        <i/>
        <sz val="10"/>
        <color theme="0" tint="-0.249977111117893"/>
        <rFont val="宋体"/>
        <family val="3"/>
        <charset val="134"/>
      </rPr>
      <t>可能是用户误用</t>
    </r>
    <phoneticPr fontId="1" type="noConversion"/>
  </si>
  <si>
    <r>
      <rPr>
        <sz val="10"/>
        <color theme="1"/>
        <rFont val="宋体"/>
        <family val="1"/>
        <charset val="134"/>
      </rPr>
      <t>全局</t>
    </r>
    <r>
      <rPr>
        <sz val="10"/>
        <color theme="1"/>
        <rFont val="Times New Roman"/>
        <family val="1"/>
      </rPr>
      <t xml:space="preserve"> pre-invocation hook </t>
    </r>
    <r>
      <rPr>
        <sz val="10"/>
        <color theme="1"/>
        <rFont val="宋体"/>
        <family val="1"/>
        <charset val="134"/>
      </rPr>
      <t>与</t>
    </r>
    <r>
      <rPr>
        <sz val="10"/>
        <color theme="1"/>
        <rFont val="Times New Roman"/>
        <family val="1"/>
      </rPr>
      <t xml:space="preserve"> Dynamo </t>
    </r>
    <r>
      <rPr>
        <sz val="10"/>
        <color theme="1"/>
        <rFont val="宋体"/>
        <family val="1"/>
        <charset val="134"/>
      </rPr>
      <t>编译</t>
    </r>
    <r>
      <rPr>
        <sz val="10"/>
        <color theme="1"/>
        <rFont val="Times New Roman"/>
        <family val="1"/>
      </rPr>
      <t xml:space="preserve"> wrapper </t>
    </r>
    <r>
      <rPr>
        <sz val="10"/>
        <color theme="1"/>
        <rFont val="宋体"/>
        <family val="1"/>
        <charset val="134"/>
      </rPr>
      <t>交互导致的副作用建模缺陷</t>
    </r>
    <r>
      <rPr>
        <sz val="10"/>
        <color theme="1"/>
        <rFont val="Times New Roman"/>
        <family val="1"/>
        <charset val="134"/>
      </rPr>
      <t xml:space="preserve">
hook </t>
    </r>
    <r>
      <rPr>
        <sz val="10"/>
        <color theme="1"/>
        <rFont val="宋体"/>
        <family val="1"/>
        <charset val="134"/>
      </rPr>
      <t>执行了</t>
    </r>
    <r>
      <rPr>
        <sz val="10"/>
        <color theme="1"/>
        <rFont val="Times New Roman"/>
        <family val="1"/>
        <charset val="134"/>
      </rPr>
      <t xml:space="preserve"> </t>
    </r>
    <r>
      <rPr>
        <sz val="10"/>
        <color theme="1"/>
        <rFont val="宋体"/>
        <family val="1"/>
        <charset val="134"/>
      </rPr>
      <t>两次，而不是</t>
    </r>
    <r>
      <rPr>
        <sz val="10"/>
        <color theme="1"/>
        <rFont val="Times New Roman"/>
        <family val="1"/>
        <charset val="134"/>
      </rPr>
      <t xml:space="preserve"> eager </t>
    </r>
    <r>
      <rPr>
        <sz val="10"/>
        <color theme="1"/>
        <rFont val="宋体"/>
        <family val="1"/>
        <charset val="134"/>
      </rPr>
      <t>中的一次</t>
    </r>
    <phoneticPr fontId="1" type="noConversion"/>
  </si>
  <si>
    <t>wrapper</t>
    <phoneticPr fontId="1" type="noConversion"/>
  </si>
  <si>
    <r>
      <t>Dynamo cannot model SETUP_WITH for</t>
    </r>
    <r>
      <rPr>
        <sz val="10"/>
        <color rgb="FFFF0000"/>
        <rFont val="Times New Roman"/>
        <family val="1"/>
      </rPr>
      <t xml:space="preserve"> user-defined managers</t>
    </r>
    <r>
      <rPr>
        <sz val="10"/>
        <color theme="1"/>
        <rFont val="Times New Roman"/>
        <family val="1"/>
      </rPr>
      <t>, causing a graph break and compilation abort.</t>
    </r>
    <phoneticPr fontId="1" type="noConversion"/>
  </si>
  <si>
    <r>
      <t xml:space="preserve">Wrapper fails to reflect </t>
    </r>
    <r>
      <rPr>
        <sz val="10"/>
        <color rgb="FFFF0000"/>
        <rFont val="Times New Roman"/>
        <family val="1"/>
      </rPr>
      <t>underlying object's state mutations</t>
    </r>
    <r>
      <rPr>
        <sz val="10"/>
        <color theme="1"/>
        <rFont val="Times New Roman"/>
        <family val="1"/>
      </rPr>
      <t>, leaving training flag unsynchronized.</t>
    </r>
    <phoneticPr fontId="1" type="noConversion"/>
  </si>
  <si>
    <t>non-tensor</t>
    <phoneticPr fontId="1" type="noConversion"/>
  </si>
  <si>
    <t>nest/closure</t>
    <phoneticPr fontId="1" type="noConversion"/>
  </si>
  <si>
    <t>config</t>
    <phoneticPr fontId="1" type="noConversion"/>
  </si>
  <si>
    <t>trigger categorize</t>
    <phoneticPr fontId="1" type="noConversion"/>
  </si>
  <si>
    <t>Operator dispatch for user-defined tuple-like objects is simplified to built-in tuple  during compilation, ignoring overridden methods.</t>
  </si>
  <si>
    <t xml:space="preserve">inequality using overridden equality </t>
  </si>
  <si>
    <t>Implicit coercion during capture alters device placement , diverging from eager execution.</t>
  </si>
  <si>
    <t>User-defined context manager  aren't captured during symbolic bytecode execution, aborting compilation.</t>
  </si>
  <si>
    <t xml:space="preserve">context manager overriding operator dispatch </t>
  </si>
  <si>
    <t>Constant folding ignores try/except ; exceptions during folding abort compilation, breaking intended catch-and-default behavior.</t>
  </si>
  <si>
    <t>Other</t>
    <phoneticPr fontId="1" type="noConversion"/>
  </si>
  <si>
    <r>
      <rPr>
        <i/>
        <sz val="10"/>
        <color theme="0" tint="-0.249977111117893"/>
        <rFont val="宋体"/>
        <family val="3"/>
        <charset val="134"/>
      </rPr>
      <t>问题并没有解决</t>
    </r>
    <r>
      <rPr>
        <i/>
        <sz val="10"/>
        <color theme="0" tint="-0.249977111117893"/>
        <rFont val="Times New Roman"/>
        <family val="1"/>
      </rPr>
      <t xml:space="preserve">, </t>
    </r>
    <r>
      <rPr>
        <i/>
        <sz val="10"/>
        <color theme="0" tint="-0.249977111117893"/>
        <rFont val="宋体"/>
        <family val="3"/>
        <charset val="134"/>
      </rPr>
      <t>只是用</t>
    </r>
    <r>
      <rPr>
        <i/>
        <sz val="10"/>
        <color theme="0" tint="-0.249977111117893"/>
        <rFont val="Times New Roman"/>
        <family val="1"/>
      </rPr>
      <t xml:space="preserve"> PR #150323 </t>
    </r>
    <r>
      <rPr>
        <i/>
        <sz val="10"/>
        <color theme="0" tint="-0.249977111117893"/>
        <rFont val="宋体"/>
        <family val="3"/>
        <charset val="134"/>
      </rPr>
      <t>提供更多错误信息</t>
    </r>
    <r>
      <rPr>
        <i/>
        <sz val="10"/>
        <color theme="0" tint="-0.249977111117893"/>
        <rFont val="Times New Roman"/>
        <family val="1"/>
      </rPr>
      <t xml:space="preserve">, PR #151251 </t>
    </r>
    <r>
      <rPr>
        <i/>
        <sz val="10"/>
        <color theme="0" tint="-0.249977111117893"/>
        <rFont val="宋体"/>
        <family val="3"/>
        <charset val="134"/>
      </rPr>
      <t>记录后续工作</t>
    </r>
    <phoneticPr fontId="1" type="noConversion"/>
  </si>
  <si>
    <r>
      <rPr>
        <sz val="10"/>
        <color theme="1"/>
        <rFont val="Times New Roman"/>
        <family val="1"/>
      </rPr>
      <t xml:space="preserve">aten.view.default </t>
    </r>
    <r>
      <rPr>
        <sz val="10"/>
        <color theme="1"/>
        <rFont val="等线"/>
        <family val="1"/>
        <charset val="134"/>
      </rPr>
      <t>不接受由</t>
    </r>
    <r>
      <rPr>
        <sz val="10"/>
        <color theme="1"/>
        <rFont val="Times New Roman"/>
        <family val="1"/>
      </rPr>
      <t xml:space="preserve"> FakeTensor </t>
    </r>
    <r>
      <rPr>
        <sz val="10"/>
        <color theme="1"/>
        <rFont val="等线"/>
        <family val="1"/>
        <charset val="134"/>
      </rPr>
      <t>表示的</t>
    </r>
    <r>
      <rPr>
        <sz val="10"/>
        <color theme="1"/>
        <rFont val="Times New Roman"/>
        <family val="1"/>
      </rPr>
      <t xml:space="preserve"> shape list</t>
    </r>
    <r>
      <rPr>
        <sz val="10"/>
        <color theme="1"/>
        <rFont val="等线"/>
        <family val="1"/>
        <charset val="134"/>
      </rPr>
      <t>，而</t>
    </r>
    <r>
      <rPr>
        <sz val="10"/>
        <color theme="1"/>
        <rFont val="Times New Roman"/>
        <family val="1"/>
      </rPr>
      <t xml:space="preserve"> Dynamo </t>
    </r>
    <r>
      <rPr>
        <sz val="10"/>
        <color theme="1"/>
        <rFont val="等线"/>
        <family val="1"/>
        <charset val="134"/>
      </rPr>
      <t>也没有在</t>
    </r>
    <r>
      <rPr>
        <sz val="10"/>
        <color theme="1"/>
        <rFont val="Times New Roman"/>
        <family val="1"/>
      </rPr>
      <t xml:space="preserve"> FX </t>
    </r>
    <r>
      <rPr>
        <sz val="10"/>
        <color theme="1"/>
        <rFont val="等线"/>
        <family val="1"/>
        <charset val="134"/>
      </rPr>
      <t>层将</t>
    </r>
    <r>
      <rPr>
        <sz val="10"/>
        <color theme="1"/>
        <rFont val="Times New Roman"/>
        <family val="1"/>
      </rPr>
      <t xml:space="preserve"> “Tensor-based shape </t>
    </r>
    <r>
      <rPr>
        <sz val="10"/>
        <color theme="1"/>
        <rFont val="等线"/>
        <family val="1"/>
        <charset val="134"/>
      </rPr>
      <t>参数”</t>
    </r>
    <r>
      <rPr>
        <sz val="10"/>
        <color theme="1"/>
        <rFont val="Times New Roman"/>
        <family val="1"/>
      </rPr>
      <t xml:space="preserve"> </t>
    </r>
    <r>
      <rPr>
        <sz val="10"/>
        <color theme="1"/>
        <rFont val="等线"/>
        <family val="1"/>
        <charset val="134"/>
      </rPr>
      <t>规范化为</t>
    </r>
    <r>
      <rPr>
        <sz val="10"/>
        <color theme="1"/>
        <rFont val="Times New Roman"/>
        <family val="1"/>
      </rPr>
      <t xml:space="preserve"> SymInt / int</t>
    </r>
    <r>
      <rPr>
        <sz val="10"/>
        <color theme="1"/>
        <rFont val="等线"/>
        <family val="1"/>
        <charset val="134"/>
      </rPr>
      <t>。</t>
    </r>
    <phoneticPr fontId="1" type="noConversion"/>
  </si>
  <si>
    <r>
      <rPr>
        <sz val="10"/>
        <color theme="1"/>
        <rFont val="等线"/>
        <family val="1"/>
        <charset val="134"/>
      </rPr>
      <t>不支持</t>
    </r>
    <r>
      <rPr>
        <sz val="10"/>
        <color theme="1"/>
        <rFont val="Times New Roman"/>
        <family val="1"/>
      </rPr>
      <t>torch.cuda.device()</t>
    </r>
    <phoneticPr fontId="1" type="noConversion"/>
  </si>
  <si>
    <r>
      <rPr>
        <sz val="10"/>
        <color theme="1"/>
        <rFont val="等线"/>
        <family val="1"/>
        <charset val="134"/>
      </rPr>
      <t xml:space="preserve">不是 </t>
    </r>
    <r>
      <rPr>
        <sz val="10"/>
        <color theme="1"/>
        <rFont val="Times New Roman"/>
        <family val="1"/>
        <charset val="134"/>
      </rPr>
      <t>context manager</t>
    </r>
    <r>
      <rPr>
        <sz val="10"/>
        <color theme="1"/>
        <rFont val="等线"/>
        <family val="1"/>
        <charset val="134"/>
      </rPr>
      <t>，是</t>
    </r>
    <r>
      <rPr>
        <sz val="10"/>
        <color theme="1"/>
        <rFont val="Times New Roman"/>
        <family val="1"/>
      </rPr>
      <t xml:space="preserve">config </t>
    </r>
    <r>
      <rPr>
        <sz val="10"/>
        <color theme="1"/>
        <rFont val="等线"/>
        <family val="1"/>
        <charset val="134"/>
      </rPr>
      <t>未起效</t>
    </r>
    <phoneticPr fontId="1" type="noConversion"/>
  </si>
  <si>
    <r>
      <rPr>
        <sz val="10"/>
        <color theme="1"/>
        <rFont val="SimSun"/>
        <family val="1"/>
        <charset val="134"/>
      </rPr>
      <t>核心不是</t>
    </r>
    <r>
      <rPr>
        <sz val="10"/>
        <color theme="1"/>
        <rFont val="Times New Roman"/>
        <family val="1"/>
      </rPr>
      <t xml:space="preserve"> guard</t>
    </r>
    <r>
      <rPr>
        <sz val="10"/>
        <color theme="1"/>
        <rFont val="SimSun"/>
        <family val="1"/>
        <charset val="134"/>
      </rPr>
      <t>，而是</t>
    </r>
    <r>
      <rPr>
        <sz val="10"/>
        <color theme="1"/>
        <rFont val="Times New Roman"/>
        <family val="1"/>
      </rPr>
      <t xml:space="preserve"> Python float </t>
    </r>
    <r>
      <rPr>
        <sz val="10"/>
        <color theme="1"/>
        <rFont val="SimSun"/>
        <family val="1"/>
        <charset val="134"/>
      </rPr>
      <t>的建模（</t>
    </r>
    <r>
      <rPr>
        <sz val="10"/>
        <color theme="1"/>
        <rFont val="Times New Roman"/>
        <family val="1"/>
      </rPr>
      <t>modeling / lowering</t>
    </r>
    <r>
      <rPr>
        <sz val="10"/>
        <color theme="1"/>
        <rFont val="SimSun"/>
        <family val="1"/>
        <charset val="134"/>
      </rPr>
      <t>）不稳定</t>
    </r>
    <phoneticPr fontId="1" type="noConversion"/>
  </si>
  <si>
    <t>7.1 Overspecialization of Mutable or Ephemeral State</t>
  </si>
  <si>
    <t>7.2 Overspecialization of Dynamic Shapes</t>
  </si>
  <si>
    <t>7.3 Missing or Incomplete Guards</t>
  </si>
  <si>
    <r>
      <rPr>
        <sz val="8"/>
        <color theme="1"/>
        <rFont val="宋体"/>
        <family val="3"/>
        <charset val="134"/>
      </rPr>
      <t>不是对应的</t>
    </r>
    <r>
      <rPr>
        <sz val="8"/>
        <color theme="1"/>
        <rFont val="Times New Roman"/>
        <family val="1"/>
      </rPr>
      <t xml:space="preserve">PR, </t>
    </r>
    <r>
      <rPr>
        <sz val="8"/>
        <color theme="1"/>
        <rFont val="宋体"/>
        <family val="3"/>
        <charset val="134"/>
      </rPr>
      <t>用一个新</t>
    </r>
    <r>
      <rPr>
        <sz val="8"/>
        <color theme="1"/>
        <rFont val="Times New Roman"/>
        <family val="1"/>
      </rPr>
      <t xml:space="preserve"> issue </t>
    </r>
    <r>
      <rPr>
        <sz val="8"/>
        <color theme="1"/>
        <rFont val="宋体"/>
        <family val="3"/>
        <charset val="134"/>
      </rPr>
      <t>来</t>
    </r>
    <r>
      <rPr>
        <sz val="8"/>
        <color theme="1"/>
        <rFont val="Times New Roman"/>
        <family val="1"/>
      </rPr>
      <t xml:space="preserve"> track </t>
    </r>
    <r>
      <rPr>
        <sz val="8"/>
        <color theme="1"/>
        <rFont val="宋体"/>
        <family val="3"/>
        <charset val="134"/>
      </rPr>
      <t>问题</t>
    </r>
    <phoneticPr fontId="1" type="noConversion"/>
  </si>
  <si>
    <r>
      <rPr>
        <sz val="8"/>
        <color rgb="FF00B050"/>
        <rFont val="Times New Roman"/>
        <family val="1"/>
      </rPr>
      <t>Synthesized constructor</t>
    </r>
    <r>
      <rPr>
        <sz val="8"/>
        <color theme="1"/>
        <rFont val="Times New Roman"/>
        <family val="1"/>
      </rPr>
      <t xml:space="preserve"> is skipped during symbolic instantiation, leaving fields unset and causing attribute access to fail in comparisons.</t>
    </r>
    <phoneticPr fontId="1" type="noConversion"/>
  </si>
  <si>
    <r>
      <t xml:space="preserve">Tracing a delegated constructor triggers </t>
    </r>
    <r>
      <rPr>
        <sz val="8"/>
        <color rgb="FF00B050"/>
        <rFont val="Times New Roman"/>
        <family val="1"/>
      </rPr>
      <t>hash on a partially initialized instance</t>
    </r>
    <r>
      <rPr>
        <sz val="8"/>
        <color theme="1"/>
        <rFont val="Times New Roman"/>
        <family val="1"/>
      </rPr>
      <t>, causing premature attribute access and failure.</t>
    </r>
    <phoneticPr fontId="1" type="noConversion"/>
  </si>
  <si>
    <r>
      <t xml:space="preserve">Dynamo truthiness handling calls user-defined methods on unspecialized modules, causing AttributeError from </t>
    </r>
    <r>
      <rPr>
        <sz val="8"/>
        <color rgb="FF00B050"/>
        <rFont val="Times New Roman"/>
        <family val="1"/>
      </rPr>
      <t>unmodeled initialization state</t>
    </r>
    <r>
      <rPr>
        <sz val="8"/>
        <color theme="1"/>
        <rFont val="Times New Roman"/>
        <family val="1"/>
      </rPr>
      <t>.</t>
    </r>
    <phoneticPr fontId="1" type="noConversion"/>
  </si>
  <si>
    <r>
      <t>hasattr</t>
    </r>
    <r>
      <rPr>
        <sz val="8"/>
        <color theme="1"/>
        <rFont val="宋体"/>
        <family val="3"/>
        <charset val="134"/>
      </rPr>
      <t>和</t>
    </r>
    <r>
      <rPr>
        <sz val="8"/>
        <color theme="1"/>
        <rFont val="Times New Roman"/>
        <family val="1"/>
      </rPr>
      <t>getattr</t>
    </r>
    <r>
      <rPr>
        <sz val="8"/>
        <color theme="1"/>
        <rFont val="宋体"/>
        <family val="3"/>
        <charset val="134"/>
      </rPr>
      <t>问题</t>
    </r>
    <r>
      <rPr>
        <sz val="8"/>
        <color theme="1"/>
        <rFont val="Times New Roman"/>
        <family val="1"/>
      </rPr>
      <t xml:space="preserve">, PR #130794 </t>
    </r>
    <r>
      <rPr>
        <sz val="8"/>
        <color theme="1"/>
        <rFont val="宋体"/>
        <family val="3"/>
        <charset val="134"/>
      </rPr>
      <t>解决这一类问题</t>
    </r>
    <phoneticPr fontId="1" type="noConversion"/>
  </si>
  <si>
    <r>
      <rPr>
        <sz val="8"/>
        <color rgb="FF00B050"/>
        <rFont val="Times New Roman"/>
        <family val="1"/>
      </rPr>
      <t>Attribute existence checks</t>
    </r>
    <r>
      <rPr>
        <sz val="8"/>
        <color theme="1"/>
        <rFont val="Times New Roman"/>
        <family val="1"/>
      </rPr>
      <t xml:space="preserve"> on tensors aren’t modeled, causing Unsupported during symbolic bytecode execution and compilation failure.</t>
    </r>
    <phoneticPr fontId="1" type="noConversion"/>
  </si>
  <si>
    <r>
      <t xml:space="preserve">Dynamo lacks modeling for </t>
    </r>
    <r>
      <rPr>
        <sz val="8"/>
        <color rgb="FF00B050"/>
        <rFont val="Times New Roman"/>
        <family val="1"/>
      </rPr>
      <t>attribute tests on generic Python modules</t>
    </r>
    <r>
      <rPr>
        <sz val="8"/>
        <color theme="1"/>
        <rFont val="Times New Roman"/>
        <family val="1"/>
      </rPr>
      <t>, raising Unsupported during bytecode tracing and aborting compilation.</t>
    </r>
    <phoneticPr fontId="1" type="noConversion"/>
  </si>
  <si>
    <r>
      <rPr>
        <sz val="8"/>
        <color rgb="FF00B050"/>
        <rFont val="Times New Roman"/>
        <family val="1"/>
      </rPr>
      <t>Custom parameter container</t>
    </r>
    <r>
      <rPr>
        <sz val="8"/>
        <color theme="1"/>
        <rFont val="Times New Roman"/>
        <family val="1"/>
      </rPr>
      <t xml:space="preserve"> isn’t modeled as constant, causing attribute resolution to graph-break and prevent compilation.</t>
    </r>
    <phoneticPr fontId="1" type="noConversion"/>
  </si>
  <si>
    <r>
      <rPr>
        <sz val="8"/>
        <color rgb="FF00B050"/>
        <rFont val="Times New Roman"/>
        <family val="1"/>
      </rPr>
      <t>Custom mapping for module parameters</t>
    </r>
    <r>
      <rPr>
        <sz val="8"/>
        <color theme="1"/>
        <rFont val="Times New Roman"/>
        <family val="1"/>
      </rPr>
      <t xml:space="preserve"> is modeled as a MutableMappingVariable lacking method access, causing an attribute error during compilation.</t>
    </r>
    <phoneticPr fontId="1" type="noConversion"/>
  </si>
  <si>
    <r>
      <t xml:space="preserve">torch/_dynamo/eval_frame.py
</t>
    </r>
    <r>
      <rPr>
        <sz val="8"/>
        <color theme="1"/>
        <rFont val="宋体"/>
        <family val="3"/>
        <charset val="134"/>
      </rPr>
      <t>非对应</t>
    </r>
    <r>
      <rPr>
        <sz val="8"/>
        <color theme="1"/>
        <rFont val="Times New Roman"/>
        <family val="1"/>
      </rPr>
      <t xml:space="preserve">PR, </t>
    </r>
    <r>
      <rPr>
        <sz val="8"/>
        <color theme="1"/>
        <rFont val="宋体"/>
        <family val="3"/>
        <charset val="134"/>
      </rPr>
      <t>但应该解决此问题</t>
    </r>
    <phoneticPr fontId="1" type="noConversion"/>
  </si>
  <si>
    <r>
      <rPr>
        <sz val="8"/>
        <color rgb="FF00B050"/>
        <rFont val="Times New Roman"/>
        <family val="1"/>
      </rPr>
      <t>Dynamic attribute access</t>
    </r>
    <r>
      <rPr>
        <sz val="8"/>
        <color theme="1"/>
        <rFont val="Times New Roman"/>
        <family val="1"/>
      </rPr>
      <t xml:space="preserve"> cannot be symbolically modeled, forcing graph breaks that error </t>
    </r>
    <r>
      <rPr>
        <sz val="8"/>
        <color rgb="FF00B050"/>
        <rFont val="Times New Roman"/>
        <family val="1"/>
      </rPr>
      <t>under fullgraph compilation.</t>
    </r>
    <phoneticPr fontId="1" type="noConversion"/>
  </si>
  <si>
    <r>
      <t>Direct</t>
    </r>
    <r>
      <rPr>
        <sz val="8"/>
        <color rgb="FF00B050"/>
        <rFont val="Times New Roman"/>
        <family val="1"/>
      </rPr>
      <t xml:space="preserve"> attribute storage mutation</t>
    </r>
    <r>
      <rPr>
        <sz val="8"/>
        <color theme="1"/>
        <rFont val="Times New Roman"/>
        <family val="1"/>
      </rPr>
      <t xml:space="preserve"> via mapping write is unmodeled, causing a Dynamo graph break during compilation.</t>
    </r>
    <phoneticPr fontId="1" type="noConversion"/>
  </si>
  <si>
    <r>
      <rPr>
        <sz val="8"/>
        <color rgb="FF00B050"/>
        <rFont val="Times New Roman"/>
        <family val="1"/>
      </rPr>
      <t>Built-in attribute checks on tensors in backward</t>
    </r>
    <r>
      <rPr>
        <sz val="8"/>
        <color theme="1"/>
        <rFont val="Times New Roman"/>
        <family val="1"/>
      </rPr>
      <t xml:space="preserve"> aren't modeled, causing compilation failure.</t>
    </r>
    <phoneticPr fontId="1" type="noConversion"/>
  </si>
  <si>
    <r>
      <rPr>
        <sz val="8"/>
        <color rgb="FF00B050"/>
        <rFont val="Times New Roman"/>
        <family val="1"/>
      </rPr>
      <t>decorated</t>
    </r>
    <r>
      <rPr>
        <sz val="8"/>
        <color theme="1"/>
        <rFont val="Times New Roman"/>
        <family val="1"/>
      </rPr>
      <t xml:space="preserve"> method call via instance binding</t>
    </r>
    <phoneticPr fontId="1" type="noConversion"/>
  </si>
  <si>
    <r>
      <rPr>
        <sz val="8"/>
        <color rgb="FF00B050"/>
        <rFont val="Times New Roman"/>
        <family val="1"/>
      </rPr>
      <t>Descriptor</t>
    </r>
    <r>
      <rPr>
        <sz val="8"/>
        <color theme="1"/>
        <rFont val="Times New Roman"/>
        <family val="1"/>
      </rPr>
      <t xml:space="preserve"> binding for methods mis-modeled during bytecode tracing, causing instance to be returned instead of expected class result.</t>
    </r>
    <phoneticPr fontId="1" type="noConversion"/>
  </si>
  <si>
    <r>
      <t xml:space="preserve">Full-graph capture lacks modeling for </t>
    </r>
    <r>
      <rPr>
        <sz val="8"/>
        <color rgb="FF00B050"/>
        <rFont val="Times New Roman"/>
        <family val="1"/>
      </rPr>
      <t>subclass method dispatch</t>
    </r>
    <r>
      <rPr>
        <sz val="8"/>
        <color theme="1"/>
        <rFont val="Times New Roman"/>
        <family val="1"/>
      </rPr>
      <t>, causing compilation to abort.</t>
    </r>
    <phoneticPr fontId="1" type="noConversion"/>
  </si>
  <si>
    <r>
      <t xml:space="preserve">Dispatch override routes </t>
    </r>
    <r>
      <rPr>
        <sz val="8"/>
        <color rgb="FF00B050"/>
        <rFont val="Times New Roman"/>
        <family val="1"/>
      </rPr>
      <t>tensor method</t>
    </r>
    <r>
      <rPr>
        <sz val="8"/>
        <color theme="1"/>
        <rFont val="Times New Roman"/>
        <family val="1"/>
      </rPr>
      <t xml:space="preserve"> to unhandled C-extension builtin, causing Dynamo unsupported error and graph break.</t>
    </r>
    <phoneticPr fontId="1" type="noConversion"/>
  </si>
  <si>
    <r>
      <rPr>
        <sz val="8"/>
        <color rgb="FF00B050"/>
        <rFont val="Times New Roman"/>
        <family val="1"/>
      </rPr>
      <t>Tensor subclass</t>
    </r>
    <r>
      <rPr>
        <sz val="8"/>
        <color theme="1"/>
        <rFont val="Times New Roman"/>
        <family val="1"/>
      </rPr>
      <t xml:space="preserve"> loses tensor typing; operator modeled as generic object call, unsupported by Dynamo, causing graph break and compilation failure.</t>
    </r>
    <phoneticPr fontId="1" type="noConversion"/>
  </si>
  <si>
    <r>
      <t xml:space="preserve">Dynamo mismodels Python rich comparison fallback, ignoring </t>
    </r>
    <r>
      <rPr>
        <sz val="8"/>
        <color rgb="FF00B050"/>
        <rFont val="Times New Roman"/>
        <family val="1"/>
      </rPr>
      <t>overridden equality</t>
    </r>
    <r>
      <rPr>
        <sz val="8"/>
        <color theme="1"/>
        <rFont val="Times New Roman"/>
        <family val="1"/>
      </rPr>
      <t xml:space="preserve"> when evaluating inequality, leading to wrong boolean result.</t>
    </r>
    <phoneticPr fontId="1" type="noConversion"/>
  </si>
  <si>
    <r>
      <rPr>
        <sz val="8"/>
        <color rgb="FF00B050"/>
        <rFont val="Times New Roman"/>
        <family val="1"/>
      </rPr>
      <t>Custom attribute mutation</t>
    </r>
    <r>
      <rPr>
        <sz val="8"/>
        <color theme="1"/>
        <rFont val="Times New Roman"/>
        <family val="1"/>
      </rPr>
      <t xml:space="preserve"> handler is ignored due to incomplete side-effect modeling, leading to mismatched object state.</t>
    </r>
    <phoneticPr fontId="1" type="noConversion"/>
  </si>
  <si>
    <r>
      <t xml:space="preserve">Converting a traced tensor to a </t>
    </r>
    <r>
      <rPr>
        <sz val="8"/>
        <color rgb="FF00B050"/>
        <rFont val="Times New Roman"/>
        <family val="1"/>
      </rPr>
      <t>non-tensor</t>
    </r>
    <r>
      <rPr>
        <sz val="8"/>
        <color theme="1"/>
        <rFont val="Times New Roman"/>
        <family val="1"/>
      </rPr>
      <t xml:space="preserve"> is unsupported during symbolic execution, causing a compilation crash.</t>
    </r>
    <phoneticPr fontId="1" type="noConversion"/>
  </si>
  <si>
    <r>
      <t xml:space="preserve">Descriptor-backed class </t>
    </r>
    <r>
      <rPr>
        <sz val="8"/>
        <color rgb="FF00B050"/>
        <rFont val="Times New Roman"/>
        <family val="1"/>
      </rPr>
      <t>attribute treated as method</t>
    </r>
    <r>
      <rPr>
        <sz val="8"/>
        <color theme="1"/>
        <rFont val="Times New Roman"/>
        <family val="1"/>
      </rPr>
      <t xml:space="preserve"> during LOAD_ATTR, triggering assertion in TorchDynamo symbolic execution.</t>
    </r>
    <phoneticPr fontId="1" type="noConversion"/>
  </si>
  <si>
    <r>
      <t xml:space="preserve">Method copied between instances produces __self__ mismatch that Dynamo's </t>
    </r>
    <r>
      <rPr>
        <sz val="8"/>
        <color rgb="FF00B050"/>
        <rFont val="Times New Roman"/>
        <family val="1"/>
      </rPr>
      <t>bound-method modeling</t>
    </r>
    <r>
      <rPr>
        <sz val="8"/>
        <color theme="1"/>
        <rFont val="Times New Roman"/>
        <family val="1"/>
      </rPr>
      <t xml:space="preserve"> can't handle, causing compilation failure.</t>
    </r>
    <phoneticPr fontId="1" type="noConversion"/>
  </si>
  <si>
    <r>
      <rPr>
        <sz val="8"/>
        <color rgb="FF00B050"/>
        <rFont val="Times New Roman"/>
        <family val="1"/>
      </rPr>
      <t>Method decoration</t>
    </r>
    <r>
      <rPr>
        <sz val="8"/>
        <color theme="1"/>
        <rFont val="Times New Roman"/>
        <family val="1"/>
      </rPr>
      <t xml:space="preserve"> hides binding ; Dynamo models it as a plain function call, dropping self and raising argument mismatch.</t>
    </r>
    <phoneticPr fontId="1" type="noConversion"/>
  </si>
  <si>
    <r>
      <t xml:space="preserve">Symbolic interpreter cannot model </t>
    </r>
    <r>
      <rPr>
        <sz val="8"/>
        <color rgb="FF00B050"/>
        <rFont val="Times New Roman"/>
        <family val="1"/>
      </rPr>
      <t>mapping subclass construction</t>
    </r>
    <r>
      <rPr>
        <sz val="8"/>
        <color theme="1"/>
        <rFont val="Times New Roman"/>
        <family val="1"/>
      </rPr>
      <t xml:space="preserve"> and </t>
    </r>
    <r>
      <rPr>
        <sz val="8"/>
        <color rgb="FF00B050"/>
        <rFont val="Times New Roman"/>
        <family val="1"/>
      </rPr>
      <t>implicit entry creation</t>
    </r>
    <r>
      <rPr>
        <sz val="8"/>
        <color theme="1"/>
        <rFont val="Times New Roman"/>
        <family val="1"/>
      </rPr>
      <t>, leading to an unsupported call and abort.</t>
    </r>
    <phoneticPr fontId="1" type="noConversion"/>
  </si>
  <si>
    <r>
      <t xml:space="preserve">Unmodeled </t>
    </r>
    <r>
      <rPr>
        <sz val="8"/>
        <color rgb="FF00B050"/>
        <rFont val="Times New Roman"/>
        <family val="1"/>
      </rPr>
      <t>container method</t>
    </r>
    <r>
      <rPr>
        <sz val="8"/>
        <color theme="1"/>
        <rFont val="Times New Roman"/>
        <family val="1"/>
      </rPr>
      <t xml:space="preserve"> in symbolic execution causes compilation failure.</t>
    </r>
    <phoneticPr fontId="1" type="noConversion"/>
  </si>
  <si>
    <r>
      <rPr>
        <sz val="8"/>
        <color rgb="FF00B050"/>
        <rFont val="Times New Roman"/>
        <family val="1"/>
      </rPr>
      <t>Metaclass-based mapping class instantiation</t>
    </r>
    <r>
      <rPr>
        <sz val="8"/>
        <color theme="1"/>
        <rFont val="Times New Roman"/>
        <family val="1"/>
      </rPr>
      <t xml:space="preserve"> unsupported in Dynamo's call modeling, causing an Unsupported exception during compilation.</t>
    </r>
    <phoneticPr fontId="1" type="noConversion"/>
  </si>
  <si>
    <r>
      <t xml:space="preserve">Caching by shape hits unsupported constant handling; Dynamo cannot </t>
    </r>
    <r>
      <rPr>
        <sz val="8"/>
        <color rgb="FF00B050"/>
        <rFont val="Times New Roman"/>
        <family val="1"/>
      </rPr>
      <t>serialize shape keys</t>
    </r>
    <r>
      <rPr>
        <sz val="8"/>
        <color theme="1"/>
        <rFont val="Times New Roman"/>
        <family val="1"/>
      </rPr>
      <t>, causing assertion during code generation.</t>
    </r>
    <phoneticPr fontId="1" type="noConversion"/>
  </si>
  <si>
    <r>
      <rPr>
        <sz val="8"/>
        <color rgb="FF00B050"/>
        <rFont val="Times New Roman"/>
        <family val="1"/>
      </rPr>
      <t>Reflective container reconstruction</t>
    </r>
    <r>
      <rPr>
        <sz val="8"/>
        <color theme="1"/>
        <rFont val="Times New Roman"/>
        <family val="1"/>
      </rPr>
      <t xml:space="preserve"> confuses bytecode modeling; unsupported class access produces graph break and abort under fullgraph.</t>
    </r>
    <phoneticPr fontId="1" type="noConversion"/>
  </si>
  <si>
    <r>
      <t xml:space="preserve">Dynamo mishandles </t>
    </r>
    <r>
      <rPr>
        <sz val="8"/>
        <color rgb="FF00B050"/>
        <rFont val="Times New Roman"/>
        <family val="1"/>
      </rPr>
      <t>dict attribute retrieval</t>
    </r>
    <r>
      <rPr>
        <sz val="8"/>
        <color theme="1"/>
        <rFont val="Times New Roman"/>
        <family val="1"/>
      </rPr>
      <t>, wrapping returned dict as constant and asserting during compilation.</t>
    </r>
    <phoneticPr fontId="1" type="noConversion"/>
  </si>
  <si>
    <r>
      <rPr>
        <sz val="8"/>
        <color rgb="FF00B050"/>
        <rFont val="Times New Roman"/>
        <family val="1"/>
      </rPr>
      <t>Multiple inheritance</t>
    </r>
    <r>
      <rPr>
        <sz val="8"/>
        <color theme="1"/>
        <rFont val="Times New Roman"/>
        <family val="1"/>
      </rPr>
      <t xml:space="preserve"> causes object classified as module, not mapping; custom dict handling rejects, raising unsupported during bytecode modeling.</t>
    </r>
    <phoneticPr fontId="1" type="noConversion"/>
  </si>
  <si>
    <r>
      <rPr>
        <sz val="8"/>
        <color rgb="FF00B050"/>
        <rFont val="Times New Roman"/>
        <family val="1"/>
      </rPr>
      <t>Python mapping view</t>
    </r>
    <r>
      <rPr>
        <sz val="8"/>
        <color theme="1"/>
        <rFont val="Times New Roman"/>
        <family val="1"/>
      </rPr>
      <t xml:space="preserve"> is modeled as a tuple during compilation, yielding inconsistent results.</t>
    </r>
    <phoneticPr fontId="1" type="noConversion"/>
  </si>
  <si>
    <r>
      <t xml:space="preserve">Keyword expansion requires </t>
    </r>
    <r>
      <rPr>
        <sz val="8"/>
        <color rgb="FF00B050"/>
        <rFont val="Times New Roman"/>
        <family val="1"/>
      </rPr>
      <t>dict merge/update</t>
    </r>
    <r>
      <rPr>
        <sz val="8"/>
        <color theme="1"/>
        <rFont val="Times New Roman"/>
        <family val="1"/>
      </rPr>
      <t>; Dynamo lacks modeling for merging constant dicts with custom mappings, triggering an Unsupported error.</t>
    </r>
    <phoneticPr fontId="1" type="noConversion"/>
  </si>
  <si>
    <r>
      <rPr>
        <sz val="8"/>
        <color rgb="FF00B050"/>
        <rFont val="Times New Roman"/>
        <family val="1"/>
      </rPr>
      <t>Exception-raising container mutation</t>
    </r>
    <r>
      <rPr>
        <sz val="8"/>
        <color theme="1"/>
        <rFont val="Times New Roman"/>
        <family val="1"/>
      </rPr>
      <t xml:space="preserve"> isn't modeled, causing graph breaks and failure under fullgraph compilation.</t>
    </r>
    <phoneticPr fontId="1" type="noConversion"/>
  </si>
  <si>
    <r>
      <t xml:space="preserve">Compilation mis-models list arguments for </t>
    </r>
    <r>
      <rPr>
        <sz val="8"/>
        <color rgb="FF00B050"/>
        <rFont val="Times New Roman"/>
        <family val="1"/>
      </rPr>
      <t>vectorized in-place op</t>
    </r>
    <r>
      <rPr>
        <sz val="8"/>
        <color theme="1"/>
        <rFont val="Times New Roman"/>
        <family val="1"/>
      </rPr>
      <t>, causing FakeTensor dispatch to access attributes on lists.</t>
    </r>
    <phoneticPr fontId="1" type="noConversion"/>
  </si>
  <si>
    <r>
      <rPr>
        <sz val="8"/>
        <color rgb="FF00B050"/>
        <rFont val="Times New Roman"/>
        <family val="1"/>
      </rPr>
      <t>Iterator-based container mutation</t>
    </r>
    <r>
      <rPr>
        <sz val="8"/>
        <color theme="1"/>
        <rFont val="Times New Roman"/>
        <family val="1"/>
      </rPr>
      <t xml:space="preserve"> unsupported; bytecode modeling can't unpack iterator elements, causing compilation to abort.</t>
    </r>
    <phoneticPr fontId="1" type="noConversion"/>
  </si>
  <si>
    <r>
      <rPr>
        <sz val="8"/>
        <color rgb="FF00B050"/>
        <rFont val="Times New Roman"/>
        <family val="1"/>
      </rPr>
      <t>Attribute mutation on mapping</t>
    </r>
    <r>
      <rPr>
        <sz val="8"/>
        <color theme="1"/>
        <rFont val="Times New Roman"/>
        <family val="1"/>
      </rPr>
      <t xml:space="preserve"> during context exceeds compiler bytecode modeling, causing compilation abort.</t>
    </r>
    <phoneticPr fontId="1" type="noConversion"/>
  </si>
  <si>
    <r>
      <rPr>
        <sz val="8"/>
        <color rgb="FF00B050"/>
        <rFont val="Times New Roman"/>
        <family val="1"/>
      </rPr>
      <t>Iterator</t>
    </r>
    <r>
      <rPr>
        <sz val="8"/>
        <color theme="1"/>
        <rFont val="Times New Roman"/>
        <family val="1"/>
      </rPr>
      <t xml:space="preserve"> from a generator passed to a type check lacks compiler type info, aborting symbolic execution.</t>
    </r>
    <phoneticPr fontId="1" type="noConversion"/>
  </si>
  <si>
    <r>
      <rPr>
        <sz val="8"/>
        <color rgb="FF00B050"/>
        <rFont val="Times New Roman"/>
        <family val="1"/>
      </rPr>
      <t>iteratively build broadcasted tensor</t>
    </r>
    <r>
      <rPr>
        <sz val="8"/>
        <color theme="1"/>
        <rFont val="Times New Roman"/>
        <family val="1"/>
      </rPr>
      <t xml:space="preserve"> across dimensions</t>
    </r>
    <phoneticPr fontId="1" type="noConversion"/>
  </si>
  <si>
    <r>
      <t>Dynamo fails to model</t>
    </r>
    <r>
      <rPr>
        <sz val="8"/>
        <color rgb="FF00B050"/>
        <rFont val="Times New Roman"/>
        <family val="1"/>
      </rPr>
      <t xml:space="preserve"> multi-iterable builtin iteration</t>
    </r>
    <r>
      <rPr>
        <sz val="8"/>
        <color theme="1"/>
        <rFont val="Times New Roman"/>
        <family val="1"/>
      </rPr>
      <t>, yielding unsupported handler and fullgraph compilation abort.</t>
    </r>
    <phoneticPr fontId="1" type="noConversion"/>
  </si>
  <si>
    <r>
      <rPr>
        <sz val="8"/>
        <color rgb="FF00B050"/>
        <rFont val="Times New Roman"/>
        <family val="1"/>
      </rPr>
      <t>Higher-order iteration</t>
    </r>
    <r>
      <rPr>
        <sz val="8"/>
        <color theme="1"/>
        <rFont val="Times New Roman"/>
        <family val="1"/>
      </rPr>
      <t xml:space="preserve"> using</t>
    </r>
    <r>
      <rPr>
        <sz val="8"/>
        <color rgb="FF00B050"/>
        <rFont val="Times New Roman"/>
        <family val="1"/>
      </rPr>
      <t xml:space="preserve"> lazy iterable</t>
    </r>
    <r>
      <rPr>
        <sz val="8"/>
        <color theme="1"/>
        <rFont val="Times New Roman"/>
        <family val="1"/>
      </rPr>
      <t xml:space="preserve"> isn't modeled in bytecode interpreter, causing graph break during compilation.</t>
    </r>
    <phoneticPr fontId="1" type="noConversion"/>
  </si>
  <si>
    <r>
      <rPr>
        <sz val="8"/>
        <color rgb="FF00B050"/>
        <rFont val="Times New Roman"/>
        <family val="1"/>
      </rPr>
      <t>Python scalar argument</t>
    </r>
    <r>
      <rPr>
        <sz val="8"/>
        <color theme="1"/>
        <rFont val="Times New Roman"/>
        <family val="1"/>
      </rPr>
      <t xml:space="preserve"> triggers ref decomposition that accesses nonexistent shape attribute.</t>
    </r>
    <phoneticPr fontId="1" type="noConversion"/>
  </si>
  <si>
    <r>
      <t xml:space="preserve">Mis-modeled </t>
    </r>
    <r>
      <rPr>
        <sz val="8"/>
        <color rgb="FF00B050"/>
        <rFont val="Times New Roman"/>
        <family val="1"/>
      </rPr>
      <t>type string</t>
    </r>
    <r>
      <rPr>
        <sz val="8"/>
        <color theme="1"/>
        <rFont val="Times New Roman"/>
        <family val="1"/>
      </rPr>
      <t xml:space="preserve"> for nonstandard devices causes wrong branch selection under compilation.</t>
    </r>
    <phoneticPr fontId="1" type="noConversion"/>
  </si>
  <si>
    <r>
      <t xml:space="preserve">torch/_dynamo/variables/builder.py
</t>
    </r>
    <r>
      <rPr>
        <sz val="8"/>
        <color theme="1"/>
        <rFont val="宋体"/>
        <family val="3"/>
        <charset val="134"/>
      </rPr>
      <t>非对应</t>
    </r>
    <r>
      <rPr>
        <sz val="8"/>
        <color theme="1"/>
        <rFont val="Times New Roman"/>
        <family val="1"/>
      </rPr>
      <t xml:space="preserve">PR, </t>
    </r>
    <r>
      <rPr>
        <sz val="8"/>
        <color theme="1"/>
        <rFont val="宋体"/>
        <family val="3"/>
        <charset val="134"/>
      </rPr>
      <t>但应该解决此问题</t>
    </r>
    <phoneticPr fontId="1" type="noConversion"/>
  </si>
  <si>
    <r>
      <t xml:space="preserve">Dynamo </t>
    </r>
    <r>
      <rPr>
        <sz val="8"/>
        <color rgb="FF00B050"/>
        <rFont val="Times New Roman"/>
        <family val="1"/>
      </rPr>
      <t>misinterprets None</t>
    </r>
    <r>
      <rPr>
        <sz val="8"/>
        <color theme="1"/>
        <rFont val="Times New Roman"/>
        <family val="1"/>
      </rPr>
      <t xml:space="preserve"> inequality, invoking overloaded comparison and failing to model control-flow predicate during graph building.</t>
    </r>
    <phoneticPr fontId="1" type="noConversion"/>
  </si>
  <si>
    <r>
      <t xml:space="preserve">Vectorization with optional output axis forces a </t>
    </r>
    <r>
      <rPr>
        <sz val="8"/>
        <color rgb="FF00B050"/>
        <rFont val="Times New Roman"/>
        <family val="1"/>
      </rPr>
      <t>boolean library check</t>
    </r>
    <r>
      <rPr>
        <sz val="8"/>
        <color theme="1"/>
        <rFont val="Times New Roman"/>
        <family val="1"/>
      </rPr>
      <t>, which Dynamo can't trace, causing a fullgraph break and failure.</t>
    </r>
    <phoneticPr fontId="1" type="noConversion"/>
  </si>
  <si>
    <r>
      <rPr>
        <sz val="8"/>
        <color rgb="FF00B050"/>
        <rFont val="Times New Roman"/>
        <family val="1"/>
      </rPr>
      <t>Decorator-generated context manager</t>
    </r>
    <r>
      <rPr>
        <sz val="8"/>
        <color theme="1"/>
        <rFont val="Times New Roman"/>
        <family val="1"/>
      </rPr>
      <t xml:space="preserve"> is skipped; pre-dispatch context-handling gaps cause compilation to abort with Unsupported.</t>
    </r>
    <phoneticPr fontId="1" type="noConversion"/>
  </si>
  <si>
    <r>
      <t>Dynamo cannot model SETUP_WITH for</t>
    </r>
    <r>
      <rPr>
        <sz val="8"/>
        <color rgb="FFFF0000"/>
        <rFont val="Times New Roman"/>
        <family val="1"/>
      </rPr>
      <t xml:space="preserve"> user-defined managers</t>
    </r>
    <r>
      <rPr>
        <sz val="8"/>
        <color theme="1"/>
        <rFont val="Times New Roman"/>
        <family val="1"/>
      </rPr>
      <t>, causing a graph break and compilation abort.</t>
    </r>
    <phoneticPr fontId="1" type="noConversion"/>
  </si>
  <si>
    <r>
      <t xml:space="preserve">torch/_dynamo/symbolic_convert.py
torch/_dynamo/variables/functions.py
</t>
    </r>
    <r>
      <rPr>
        <sz val="8"/>
        <color theme="1"/>
        <rFont val="宋体"/>
        <family val="3"/>
        <charset val="134"/>
      </rPr>
      <t>非对应</t>
    </r>
    <r>
      <rPr>
        <sz val="8"/>
        <color theme="1"/>
        <rFont val="Times New Roman"/>
        <family val="1"/>
      </rPr>
      <t xml:space="preserve">PR, </t>
    </r>
    <r>
      <rPr>
        <sz val="8"/>
        <color theme="1"/>
        <rFont val="宋体"/>
        <family val="3"/>
        <charset val="134"/>
      </rPr>
      <t>但应该解决此问题</t>
    </r>
    <phoneticPr fontId="1" type="noConversion"/>
  </si>
  <si>
    <r>
      <rPr>
        <sz val="8"/>
        <color rgb="FFFF0000"/>
        <rFont val="Times New Roman"/>
        <family val="1"/>
      </rPr>
      <t>Misordered handling of with-block stack</t>
    </r>
    <r>
      <rPr>
        <sz val="8"/>
        <color theme="1"/>
        <rFont val="Times New Roman"/>
        <family val="1"/>
      </rPr>
      <t xml:space="preserve"> during bytecode emulation causes re-entrance failure when a graph break occurs, leading to crash.</t>
    </r>
    <phoneticPr fontId="1" type="noConversion"/>
  </si>
  <si>
    <r>
      <t xml:space="preserve">graph break inside </t>
    </r>
    <r>
      <rPr>
        <sz val="8"/>
        <color rgb="FF00B050"/>
        <rFont val="Times New Roman"/>
        <family val="1"/>
      </rPr>
      <t>nested</t>
    </r>
    <r>
      <rPr>
        <sz val="8"/>
        <color theme="1"/>
        <rFont val="Times New Roman"/>
        <family val="1"/>
      </rPr>
      <t xml:space="preserve"> casting and autograd contexts</t>
    </r>
    <phoneticPr fontId="1" type="noConversion"/>
  </si>
  <si>
    <r>
      <rPr>
        <sz val="8"/>
        <color rgb="FF00B050"/>
        <rFont val="Times New Roman"/>
        <family val="1"/>
      </rPr>
      <t>Dynamic context dispatch</t>
    </r>
    <r>
      <rPr>
        <sz val="8"/>
        <color theme="1"/>
        <rFont val="Times New Roman"/>
        <family val="1"/>
      </rPr>
      <t xml:space="preserve"> overrides aren't captured; compiled graph bypasses mode-driven operator rewrites, causing behavior mismatch.</t>
    </r>
    <phoneticPr fontId="1" type="noConversion"/>
  </si>
  <si>
    <r>
      <rPr>
        <sz val="8"/>
        <color rgb="FF00B050"/>
        <rFont val="Times New Roman"/>
        <family val="1"/>
      </rPr>
      <t>Context-managed dispatch</t>
    </r>
    <r>
      <rPr>
        <sz val="8"/>
        <color theme="1"/>
        <rFont val="Times New Roman"/>
        <family val="1"/>
      </rPr>
      <t xml:space="preserve"> alters operation path; Dynamo fails to model it, misclassifies the call, and triggers a graph break.</t>
    </r>
    <phoneticPr fontId="1" type="noConversion"/>
  </si>
  <si>
    <r>
      <rPr>
        <sz val="8"/>
        <color rgb="FF00B050"/>
        <rFont val="Times New Roman"/>
        <family val="1"/>
      </rPr>
      <t>Absent attribute access</t>
    </r>
    <r>
      <rPr>
        <sz val="8"/>
        <color theme="1"/>
        <rFont val="Times New Roman"/>
        <family val="1"/>
      </rPr>
      <t xml:space="preserve"> fails to raise, breaking </t>
    </r>
    <r>
      <rPr>
        <sz val="8"/>
        <color rgb="FF00B050"/>
        <rFont val="Times New Roman"/>
        <family val="1"/>
      </rPr>
      <t>try/except control flow</t>
    </r>
    <r>
      <rPr>
        <sz val="8"/>
        <color theme="1"/>
        <rFont val="Times New Roman"/>
        <family val="1"/>
      </rPr>
      <t xml:space="preserve"> under compilation and altering computed constants.</t>
    </r>
    <phoneticPr fontId="1" type="noConversion"/>
  </si>
  <si>
    <r>
      <t xml:space="preserve">Attribute resolution during graph capture bypasses </t>
    </r>
    <r>
      <rPr>
        <sz val="8"/>
        <color rgb="FF00B050"/>
        <rFont val="Times New Roman"/>
        <family val="1"/>
      </rPr>
      <t>try/except</t>
    </r>
    <r>
      <rPr>
        <sz val="8"/>
        <color theme="1"/>
        <rFont val="Times New Roman"/>
        <family val="1"/>
      </rPr>
      <t>, causing unhandled AttributeError instead of falling back.</t>
    </r>
    <phoneticPr fontId="1" type="noConversion"/>
  </si>
  <si>
    <r>
      <rPr>
        <sz val="8"/>
        <color rgb="FF00B050"/>
        <rFont val="Times New Roman"/>
        <family val="1"/>
      </rPr>
      <t>Decorated inner function</t>
    </r>
    <r>
      <rPr>
        <sz val="8"/>
        <color theme="1"/>
        <rFont val="Times New Roman"/>
        <family val="1"/>
      </rPr>
      <t xml:space="preserve"> conflicts with whole-graph capture constraints, triggering unsupported operation failure at compile time.</t>
    </r>
    <phoneticPr fontId="1" type="noConversion"/>
  </si>
  <si>
    <r>
      <t xml:space="preserve">Dynamic eval-frame scoping </t>
    </r>
    <r>
      <rPr>
        <sz val="8"/>
        <color rgb="FF00B050"/>
        <rFont val="Times New Roman"/>
        <family val="1"/>
      </rPr>
      <t>ignores outer disable</t>
    </r>
    <r>
      <rPr>
        <sz val="8"/>
        <color theme="1"/>
        <rFont val="Times New Roman"/>
        <family val="1"/>
      </rPr>
      <t>, allowing nested compilation to proceed and raise runtime errors.</t>
    </r>
    <phoneticPr fontId="1" type="noConversion"/>
  </si>
  <si>
    <r>
      <rPr>
        <sz val="8"/>
        <color rgb="FF00B050"/>
        <rFont val="Times New Roman"/>
        <family val="1"/>
      </rPr>
      <t>Nested function decoration</t>
    </r>
    <r>
      <rPr>
        <sz val="8"/>
        <color theme="1"/>
        <rFont val="Times New Roman"/>
        <family val="1"/>
      </rPr>
      <t xml:space="preserve"> causes Dynamo’s function reconstruction to fail during bytecode modeling, resulting in a compile-time crash.</t>
    </r>
    <phoneticPr fontId="1" type="noConversion"/>
  </si>
  <si>
    <r>
      <t>Compiler fails to</t>
    </r>
    <r>
      <rPr>
        <sz val="8"/>
        <color rgb="FF00B050"/>
        <rFont val="Times New Roman"/>
        <family val="1"/>
      </rPr>
      <t xml:space="preserve"> reconstruct closure cell variables</t>
    </r>
    <r>
      <rPr>
        <sz val="8"/>
        <color theme="1"/>
        <rFont val="Times New Roman"/>
        <family val="1"/>
      </rPr>
      <t xml:space="preserve"> from nested functions, aborting during inlining.</t>
    </r>
    <phoneticPr fontId="1" type="noConversion"/>
  </si>
  <si>
    <r>
      <rPr>
        <sz val="8"/>
        <color rgb="FFFF0000"/>
        <rFont val="Times New Roman"/>
        <family val="1"/>
      </rPr>
      <t>Inlining a returned closure with captured variables</t>
    </r>
    <r>
      <rPr>
        <sz val="8"/>
        <color theme="1"/>
        <rFont val="Times New Roman"/>
        <family val="1"/>
      </rPr>
      <t xml:space="preserve"> mismanages translator hierarchy, causing attribute access failure during compilation.</t>
    </r>
    <phoneticPr fontId="1" type="noConversion"/>
  </si>
  <si>
    <r>
      <t xml:space="preserve">Read-only closure inlining omits cell reconstruction, causing assertion when the captured environment </t>
    </r>
    <r>
      <rPr>
        <sz val="8"/>
        <color rgb="FFFF0000"/>
        <rFont val="Times New Roman"/>
        <family val="1"/>
      </rPr>
      <t>escapes the compiled region</t>
    </r>
    <r>
      <rPr>
        <sz val="8"/>
        <color theme="1"/>
        <rFont val="Times New Roman"/>
        <family val="1"/>
      </rPr>
      <t>.</t>
    </r>
    <phoneticPr fontId="1" type="noConversion"/>
  </si>
  <si>
    <r>
      <rPr>
        <sz val="8"/>
        <color rgb="FF00B050"/>
        <rFont val="Times New Roman"/>
        <family val="1"/>
      </rPr>
      <t xml:space="preserve">Closure mutation </t>
    </r>
    <r>
      <rPr>
        <sz val="8"/>
        <color theme="1"/>
        <rFont val="Times New Roman"/>
        <family val="1"/>
      </rPr>
      <t>tracking by source names fails when multiple closures share a cell, producing stale reads under compilation.</t>
    </r>
    <phoneticPr fontId="1" type="noConversion"/>
  </si>
  <si>
    <r>
      <rPr>
        <sz val="8"/>
        <color theme="1"/>
        <rFont val="宋体"/>
        <family val="3"/>
        <charset val="134"/>
      </rPr>
      <t>将</t>
    </r>
    <r>
      <rPr>
        <sz val="8"/>
        <color theme="1"/>
        <rFont val="Times New Roman"/>
        <family val="1"/>
      </rPr>
      <t xml:space="preserve"> TORCHDYNAMO_INLINE_INBUILT_NN_MODULES </t>
    </r>
    <r>
      <rPr>
        <sz val="8"/>
        <color theme="1"/>
        <rFont val="宋体"/>
        <family val="3"/>
        <charset val="134"/>
      </rPr>
      <t>设置为默认启用</t>
    </r>
    <phoneticPr fontId="1" type="noConversion"/>
  </si>
  <si>
    <r>
      <rPr>
        <sz val="8"/>
        <color rgb="FF00B050"/>
        <rFont val="Times New Roman"/>
        <family val="1"/>
      </rPr>
      <t>Instance attributes</t>
    </r>
    <r>
      <rPr>
        <sz val="8"/>
        <color theme="1"/>
        <rFont val="Times New Roman"/>
        <family val="1"/>
      </rPr>
      <t xml:space="preserve"> are constant-specialized with identity guards, forcing recompilation per object and preventing cache sharing across layers.</t>
    </r>
    <phoneticPr fontId="1" type="noConversion"/>
  </si>
  <si>
    <r>
      <rPr>
        <sz val="8"/>
        <color rgb="FF00B050"/>
        <rFont val="Times New Roman"/>
        <family val="1"/>
      </rPr>
      <t>Attribute</t>
    </r>
    <r>
      <rPr>
        <sz val="8"/>
        <color theme="1"/>
        <rFont val="Times New Roman"/>
        <family val="1"/>
      </rPr>
      <t xml:space="preserve"> mutation causes value-equality guards and overspecialization, forcing repeated recompilation instead of symbolic handling.</t>
    </r>
    <phoneticPr fontId="1" type="noConversion"/>
  </si>
  <si>
    <r>
      <t xml:space="preserve">Ephemeral </t>
    </r>
    <r>
      <rPr>
        <sz val="8"/>
        <color rgb="FF00B050"/>
        <rFont val="Times New Roman"/>
        <family val="1"/>
      </rPr>
      <t>objects</t>
    </r>
    <r>
      <rPr>
        <sz val="8"/>
        <color theme="1"/>
        <rFont val="Times New Roman"/>
        <family val="1"/>
      </rPr>
      <t xml:space="preserve"> invalidate guard-attached cache entries, triggering recompilation each call; inlining avoids object identity guards and stabilizes cache.</t>
    </r>
    <phoneticPr fontId="1" type="noConversion"/>
  </si>
  <si>
    <r>
      <rPr>
        <sz val="8"/>
        <color rgb="FF00B050"/>
        <rFont val="Times New Roman"/>
        <family val="1"/>
      </rPr>
      <t>Attribute access on module</t>
    </r>
    <r>
      <rPr>
        <sz val="8"/>
        <color theme="1"/>
        <rFont val="Times New Roman"/>
        <family val="1"/>
      </rPr>
      <t xml:space="preserve"> is specialized as constant, missing guards, so post-compile mutations aren't reflected in compiled runs.</t>
    </r>
    <phoneticPr fontId="1" type="noConversion"/>
  </si>
  <si>
    <r>
      <t xml:space="preserve">Literal </t>
    </r>
    <r>
      <rPr>
        <sz val="8"/>
        <color rgb="FF00B050"/>
        <rFont val="Times New Roman"/>
        <family val="1"/>
      </rPr>
      <t>scalar</t>
    </r>
    <r>
      <rPr>
        <sz val="8"/>
        <color theme="1"/>
        <rFont val="Times New Roman"/>
        <family val="1"/>
      </rPr>
      <t xml:space="preserve"> inputs become constant-folded, producing strict value guards that recompile when the value changes across invocations.</t>
    </r>
    <phoneticPr fontId="1" type="noConversion"/>
  </si>
  <si>
    <r>
      <rPr>
        <sz val="8"/>
        <color rgb="FF00B050"/>
        <rFont val="Times New Roman"/>
        <family val="1"/>
      </rPr>
      <t>Constant guards</t>
    </r>
    <r>
      <rPr>
        <sz val="8"/>
        <color theme="1"/>
        <rFont val="Times New Roman"/>
        <family val="1"/>
      </rPr>
      <t xml:space="preserve"> on the mapped axis prevent dynamic shapes, forcing recompilation whenever the batch dimension size changes.</t>
    </r>
    <phoneticPr fontId="1" type="noConversion"/>
  </si>
  <si>
    <r>
      <rPr>
        <sz val="8"/>
        <color rgb="FF00B050"/>
        <rFont val="Times New Roman"/>
        <family val="1"/>
      </rPr>
      <t>Dynamic shape floor-division</t>
    </r>
    <r>
      <rPr>
        <sz val="8"/>
        <color theme="1"/>
        <rFont val="Times New Roman"/>
        <family val="1"/>
      </rPr>
      <t xml:space="preserve"> is mis-modeled, producing incorrect length expressions and mismatched guards.</t>
    </r>
    <phoneticPr fontId="1" type="noConversion"/>
  </si>
  <si>
    <r>
      <t xml:space="preserve">torch/_meta_registrations.py
torch/_meta_registrations.py
</t>
    </r>
    <r>
      <rPr>
        <sz val="8"/>
        <color theme="1"/>
        <rFont val="宋体"/>
        <family val="3"/>
        <charset val="134"/>
      </rPr>
      <t>非对应</t>
    </r>
    <r>
      <rPr>
        <sz val="8"/>
        <color theme="1"/>
        <rFont val="Times New Roman"/>
        <family val="1"/>
      </rPr>
      <t xml:space="preserve">PR, </t>
    </r>
    <r>
      <rPr>
        <sz val="8"/>
        <color theme="1"/>
        <rFont val="宋体"/>
        <family val="3"/>
        <charset val="134"/>
      </rPr>
      <t>但应该解决此问题</t>
    </r>
    <phoneticPr fontId="1" type="noConversion"/>
  </si>
  <si>
    <r>
      <t xml:space="preserve">Data-derived dynamic shape introduces equality guard on a </t>
    </r>
    <r>
      <rPr>
        <sz val="8"/>
        <color rgb="FF00B050"/>
        <rFont val="Times New Roman"/>
        <family val="1"/>
      </rPr>
      <t>symbolic value</t>
    </r>
    <r>
      <rPr>
        <sz val="8"/>
        <color theme="1"/>
        <rFont val="Times New Roman"/>
        <family val="1"/>
      </rPr>
      <t xml:space="preserve"> that the guard system cannot resolve, aborting compilation.</t>
    </r>
    <phoneticPr fontId="1" type="noConversion"/>
  </si>
  <si>
    <r>
      <t xml:space="preserve">toggling </t>
    </r>
    <r>
      <rPr>
        <sz val="8"/>
        <color rgb="FF00B050"/>
        <rFont val="Times New Roman"/>
        <family val="1"/>
      </rPr>
      <t>ambient context manager</t>
    </r>
    <r>
      <rPr>
        <sz val="8"/>
        <color theme="1"/>
        <rFont val="Times New Roman"/>
        <family val="1"/>
      </rPr>
      <t xml:space="preserve"> around compiled calls</t>
    </r>
    <phoneticPr fontId="1" type="noConversion"/>
  </si>
  <si>
    <r>
      <t xml:space="preserve">capturing </t>
    </r>
    <r>
      <rPr>
        <sz val="8"/>
        <color rgb="FF00B050"/>
        <rFont val="Times New Roman"/>
        <family val="1"/>
      </rPr>
      <t>instance attribute</t>
    </r>
    <r>
      <rPr>
        <sz val="8"/>
        <color theme="1"/>
        <rFont val="Times New Roman"/>
        <family val="1"/>
      </rPr>
      <t xml:space="preserve"> in nested closure</t>
    </r>
    <phoneticPr fontId="1" type="noConversion"/>
  </si>
  <si>
    <r>
      <rPr>
        <sz val="8"/>
        <color rgb="FF00B050"/>
        <rFont val="Times New Roman"/>
        <family val="1"/>
      </rPr>
      <t>Nested closure</t>
    </r>
    <r>
      <rPr>
        <sz val="8"/>
        <color theme="1"/>
        <rFont val="Times New Roman"/>
        <family val="1"/>
      </rPr>
      <t xml:space="preserve"> over module fields triggers guards; alternate guard path lacks manager initialization, causing assertion during guard creation.</t>
    </r>
    <phoneticPr fontId="1" type="noConversion"/>
  </si>
  <si>
    <r>
      <t xml:space="preserve">Shape-specialized graph assumes equal sizes across captured </t>
    </r>
    <r>
      <rPr>
        <sz val="8"/>
        <color rgb="FF00B050"/>
        <rFont val="Times New Roman"/>
        <family val="1"/>
      </rPr>
      <t>parameters</t>
    </r>
    <r>
      <rPr>
        <sz val="8"/>
        <color theme="1"/>
        <rFont val="Times New Roman"/>
        <family val="1"/>
      </rPr>
      <t>; insufficient guards allow mismatched shapes, causing assertion failure.</t>
    </r>
    <phoneticPr fontId="1" type="noConversion"/>
  </si>
  <si>
    <r>
      <t xml:space="preserve">torch/_dynamo/guards.py
torch/_guards.py
</t>
    </r>
    <r>
      <rPr>
        <sz val="8"/>
        <color theme="1"/>
        <rFont val="宋体"/>
        <family val="3"/>
        <charset val="134"/>
      </rPr>
      <t>非对应</t>
    </r>
    <r>
      <rPr>
        <sz val="8"/>
        <color theme="1"/>
        <rFont val="Times New Roman"/>
        <family val="1"/>
      </rPr>
      <t xml:space="preserve">PR, </t>
    </r>
    <r>
      <rPr>
        <sz val="8"/>
        <color theme="1"/>
        <rFont val="宋体"/>
        <family val="3"/>
        <charset val="134"/>
      </rPr>
      <t>但其他用户确认该</t>
    </r>
    <r>
      <rPr>
        <sz val="8"/>
        <color theme="1"/>
        <rFont val="Times New Roman"/>
        <family val="1"/>
      </rPr>
      <t>PR</t>
    </r>
    <r>
      <rPr>
        <sz val="8"/>
        <color theme="1"/>
        <rFont val="宋体"/>
        <family val="3"/>
        <charset val="134"/>
      </rPr>
      <t>可解决此问题</t>
    </r>
    <phoneticPr fontId="1" type="noConversion"/>
  </si>
  <si>
    <r>
      <t xml:space="preserve">Graph specialization to </t>
    </r>
    <r>
      <rPr>
        <sz val="8"/>
        <color rgb="FF00B050"/>
        <rFont val="Times New Roman"/>
        <family val="1"/>
      </rPr>
      <t>static parameter shapes</t>
    </r>
    <r>
      <rPr>
        <sz val="8"/>
        <color theme="1"/>
        <rFont val="Times New Roman"/>
        <family val="1"/>
      </rPr>
      <t xml:space="preserve"> fails when invoked on layers with mismatched shapes, triggering runtime assertion.</t>
    </r>
    <phoneticPr fontId="1" type="noConversion"/>
  </si>
  <si>
    <r>
      <t xml:space="preserve">Guard creation assumes </t>
    </r>
    <r>
      <rPr>
        <sz val="8"/>
        <color rgb="FF00B050"/>
        <rFont val="Times New Roman"/>
        <family val="1"/>
      </rPr>
      <t>attribute in subclass</t>
    </r>
    <r>
      <rPr>
        <sz val="8"/>
        <color theme="1"/>
        <rFont val="Times New Roman"/>
        <family val="1"/>
      </rPr>
      <t xml:space="preserve"> __dict__, failing on inherited lazy attributes and aborting compilation.</t>
    </r>
    <phoneticPr fontId="1" type="noConversion"/>
  </si>
  <si>
    <r>
      <t xml:space="preserve">Field access on a </t>
    </r>
    <r>
      <rPr>
        <sz val="8"/>
        <color rgb="FF00B050"/>
        <rFont val="Times New Roman"/>
        <family val="1"/>
      </rPr>
      <t>tuple-like record</t>
    </r>
    <r>
      <rPr>
        <sz val="8"/>
        <color theme="1"/>
        <rFont val="Times New Roman"/>
        <family val="1"/>
      </rPr>
      <t xml:space="preserve"> cannot be guarded, causing graph breaks during compilation.</t>
    </r>
    <phoneticPr fontId="1" type="noConversion"/>
  </si>
  <si>
    <r>
      <rPr>
        <sz val="8"/>
        <color rgb="FF00B050"/>
        <rFont val="Times New Roman"/>
        <family val="1"/>
      </rPr>
      <t>deleting decorated object</t>
    </r>
    <r>
      <rPr>
        <sz val="8"/>
        <color theme="1"/>
        <rFont val="Times New Roman"/>
        <family val="1"/>
      </rPr>
      <t xml:space="preserve"> leads to identity reuse</t>
    </r>
    <phoneticPr fontId="1" type="noConversion"/>
  </si>
  <si>
    <r>
      <t xml:space="preserve">Compiled execution reads original object state, ignoring </t>
    </r>
    <r>
      <rPr>
        <sz val="8"/>
        <color rgb="FF00B050"/>
        <rFont val="Times New Roman"/>
        <family val="1"/>
      </rPr>
      <t>temporary attribute substitutions</t>
    </r>
    <r>
      <rPr>
        <sz val="8"/>
        <color theme="1"/>
        <rFont val="Times New Roman"/>
        <family val="1"/>
      </rPr>
      <t>, yielding non-functional results compared to eager behavior.</t>
    </r>
    <phoneticPr fontId="1" type="noConversion"/>
  </si>
  <si>
    <r>
      <rPr>
        <sz val="8"/>
        <color theme="1"/>
        <rFont val="宋体"/>
        <family val="3"/>
        <charset val="134"/>
      </rPr>
      <t>应该还是和</t>
    </r>
    <r>
      <rPr>
        <sz val="8"/>
        <color theme="1"/>
        <rFont val="Times New Roman"/>
        <family val="1"/>
      </rPr>
      <t xml:space="preserve"> inline_inbuilt_nn_modules </t>
    </r>
    <r>
      <rPr>
        <sz val="8"/>
        <color theme="1"/>
        <rFont val="宋体"/>
        <family val="3"/>
        <charset val="134"/>
      </rPr>
      <t>有关</t>
    </r>
    <r>
      <rPr>
        <sz val="8"/>
        <color theme="1"/>
        <rFont val="Times New Roman"/>
        <family val="1"/>
      </rPr>
      <t>(</t>
    </r>
    <r>
      <rPr>
        <sz val="8"/>
        <color theme="1"/>
        <rFont val="宋体"/>
        <family val="3"/>
        <charset val="134"/>
      </rPr>
      <t>之前的几个</t>
    </r>
    <r>
      <rPr>
        <sz val="8"/>
        <color theme="1"/>
        <rFont val="Times New Roman"/>
        <family val="1"/>
      </rPr>
      <t>issue</t>
    </r>
    <r>
      <rPr>
        <sz val="8"/>
        <color theme="1"/>
        <rFont val="宋体"/>
        <family val="3"/>
        <charset val="134"/>
      </rPr>
      <t>也提到了这个配置信息</t>
    </r>
    <r>
      <rPr>
        <sz val="8"/>
        <color theme="1"/>
        <rFont val="Times New Roman"/>
        <family val="1"/>
      </rPr>
      <t xml:space="preserve">)
</t>
    </r>
    <r>
      <rPr>
        <sz val="8"/>
        <color theme="1"/>
        <rFont val="宋体"/>
        <family val="3"/>
        <charset val="134"/>
      </rPr>
      <t>这条</t>
    </r>
    <r>
      <rPr>
        <sz val="8"/>
        <color theme="1"/>
        <rFont val="Times New Roman"/>
        <family val="1"/>
      </rPr>
      <t xml:space="preserve"> PR </t>
    </r>
    <r>
      <rPr>
        <sz val="8"/>
        <color theme="1"/>
        <rFont val="宋体"/>
        <family val="3"/>
        <charset val="134"/>
      </rPr>
      <t>中没有有效信息</t>
    </r>
    <r>
      <rPr>
        <sz val="8"/>
        <color theme="1"/>
        <rFont val="Times New Roman"/>
        <family val="1"/>
      </rPr>
      <t xml:space="preserve">, </t>
    </r>
    <r>
      <rPr>
        <sz val="8"/>
        <color theme="1"/>
        <rFont val="宋体"/>
        <family val="3"/>
        <charset val="134"/>
      </rPr>
      <t>只修改了一个</t>
    </r>
    <r>
      <rPr>
        <sz val="8"/>
        <color theme="1"/>
        <rFont val="Times New Roman"/>
        <family val="1"/>
      </rPr>
      <t xml:space="preserve"> test </t>
    </r>
    <r>
      <rPr>
        <sz val="8"/>
        <color theme="1"/>
        <rFont val="宋体"/>
        <family val="3"/>
        <charset val="134"/>
      </rPr>
      <t>文件</t>
    </r>
    <r>
      <rPr>
        <sz val="8"/>
        <color theme="1"/>
        <rFont val="Times New Roman"/>
        <family val="1"/>
      </rPr>
      <t xml:space="preserve">, </t>
    </r>
    <r>
      <rPr>
        <sz val="8"/>
        <color theme="1"/>
        <rFont val="宋体"/>
        <family val="3"/>
        <charset val="134"/>
      </rPr>
      <t>完全没修改</t>
    </r>
    <r>
      <rPr>
        <sz val="8"/>
        <color theme="1"/>
        <rFont val="Times New Roman"/>
        <family val="1"/>
      </rPr>
      <t xml:space="preserve"> dynamo </t>
    </r>
    <r>
      <rPr>
        <sz val="8"/>
        <color theme="1"/>
        <rFont val="宋体"/>
        <family val="3"/>
        <charset val="134"/>
      </rPr>
      <t>核心逻辑</t>
    </r>
    <phoneticPr fontId="1" type="noConversion"/>
  </si>
  <si>
    <r>
      <t xml:space="preserve">Compiled graph caches parameters; </t>
    </r>
    <r>
      <rPr>
        <sz val="8"/>
        <color rgb="FF00B050"/>
        <rFont val="Times New Roman"/>
        <family val="1"/>
      </rPr>
      <t>subsequent attribute reassignment</t>
    </r>
    <r>
      <rPr>
        <sz val="8"/>
        <color theme="1"/>
        <rFont val="Times New Roman"/>
        <family val="1"/>
      </rPr>
      <t xml:space="preserve"> isn't tracked, so later executions ignore updated state.</t>
    </r>
    <phoneticPr fontId="1" type="noConversion"/>
  </si>
  <si>
    <r>
      <rPr>
        <sz val="8"/>
        <color rgb="FF00B050"/>
        <rFont val="Times New Roman"/>
        <family val="1"/>
      </rPr>
      <t>User-assigned attribute</t>
    </r>
    <r>
      <rPr>
        <sz val="8"/>
        <color theme="1"/>
        <rFont val="Times New Roman"/>
        <family val="1"/>
      </rPr>
      <t xml:space="preserve"> on an object isn't tracked; proxy lacks it, causing method lookup failure during compilation.</t>
    </r>
    <phoneticPr fontId="1" type="noConversion"/>
  </si>
  <si>
    <r>
      <t xml:space="preserve">attribute lookup on </t>
    </r>
    <r>
      <rPr>
        <sz val="8"/>
        <color rgb="FF00B050"/>
        <rFont val="Times New Roman"/>
        <family val="1"/>
      </rPr>
      <t>partially initialized instance</t>
    </r>
    <phoneticPr fontId="1" type="noConversion"/>
  </si>
  <si>
    <r>
      <rPr>
        <sz val="8"/>
        <color rgb="FF00B050"/>
        <rFont val="Times New Roman"/>
        <family val="1"/>
      </rPr>
      <t>Deferred initialization</t>
    </r>
    <r>
      <rPr>
        <sz val="8"/>
        <color theme="1"/>
        <rFont val="Times New Roman"/>
        <family val="1"/>
      </rPr>
      <t xml:space="preserve"> mutates module state between traces, invalidating speculation log and causing divergent inlining decisions and assertion failure.</t>
    </r>
    <phoneticPr fontId="1" type="noConversion"/>
  </si>
  <si>
    <r>
      <t xml:space="preserve">Mode-based dispatch exposes class-level mutation; compiler lacks side-effect support for </t>
    </r>
    <r>
      <rPr>
        <sz val="8"/>
        <color rgb="FF00B050"/>
        <rFont val="Times New Roman"/>
        <family val="1"/>
      </rPr>
      <t>setattr</t>
    </r>
    <r>
      <rPr>
        <sz val="8"/>
        <color theme="1"/>
        <rFont val="Times New Roman"/>
        <family val="1"/>
      </rPr>
      <t xml:space="preserve"> under fullgraph, causing tracing to abort.</t>
    </r>
    <phoneticPr fontId="1" type="noConversion"/>
  </si>
  <si>
    <r>
      <rPr>
        <sz val="8"/>
        <color rgb="FF00B050"/>
        <rFont val="Times New Roman"/>
        <family val="1"/>
      </rPr>
      <t>in-place attribute reassignment</t>
    </r>
    <r>
      <rPr>
        <sz val="8"/>
        <color theme="1"/>
        <rFont val="Times New Roman"/>
        <family val="1"/>
      </rPr>
      <t xml:space="preserve"> across tensor dtype</t>
    </r>
    <phoneticPr fontId="1" type="noConversion"/>
  </si>
  <si>
    <r>
      <rPr>
        <sz val="8"/>
        <color rgb="FF00B050"/>
        <rFont val="Times New Roman"/>
        <family val="1"/>
      </rPr>
      <t>Out-argument</t>
    </r>
    <r>
      <rPr>
        <sz val="8"/>
        <color theme="1"/>
        <rFont val="Times New Roman"/>
        <family val="1"/>
      </rPr>
      <t xml:space="preserve"> side-effect modeling with scalars produces a CPU result, causing a copy-to-meta failure during fake execution.</t>
    </r>
    <phoneticPr fontId="1" type="noConversion"/>
  </si>
  <si>
    <r>
      <rPr>
        <sz val="8"/>
        <color rgb="FF00B050"/>
        <rFont val="Times New Roman"/>
        <family val="1"/>
      </rPr>
      <t>In-place shape change</t>
    </r>
    <r>
      <rPr>
        <sz val="8"/>
        <color theme="1"/>
        <rFont val="Times New Roman"/>
        <family val="1"/>
      </rPr>
      <t xml:space="preserve"> on a tracked tensor breaks dynamic-shape guard generation, causing an index error and compile-time abort.</t>
    </r>
    <phoneticPr fontId="1" type="noConversion"/>
  </si>
  <si>
    <r>
      <t xml:space="preserve">Compiler fails to model implicit resize from </t>
    </r>
    <r>
      <rPr>
        <sz val="8"/>
        <color rgb="FF00B050"/>
        <rFont val="Times New Roman"/>
        <family val="1"/>
      </rPr>
      <t>output-argument mutation</t>
    </r>
    <r>
      <rPr>
        <sz val="8"/>
        <color theme="1"/>
        <rFont val="Times New Roman"/>
        <family val="1"/>
      </rPr>
      <t>, returning original buffer shape instead of eager's resized scalar.</t>
    </r>
    <phoneticPr fontId="1" type="noConversion"/>
  </si>
  <si>
    <r>
      <rPr>
        <sz val="8"/>
        <color rgb="FF00B050"/>
        <rFont val="Times New Roman"/>
        <family val="1"/>
      </rPr>
      <t>Mutating backward inputs</t>
    </r>
    <r>
      <rPr>
        <sz val="8"/>
        <color theme="1"/>
        <rFont val="Times New Roman"/>
        <family val="1"/>
      </rPr>
      <t xml:space="preserve"> violates no-mutation modeling; functionalization detects mutation and aborts compilation with an assertion.</t>
    </r>
    <phoneticPr fontId="1" type="noConversion"/>
  </si>
  <si>
    <r>
      <t xml:space="preserve">torch/_dynamo/variables/higher_order_ops.py
</t>
    </r>
    <r>
      <rPr>
        <sz val="8"/>
        <color theme="1"/>
        <rFont val="宋体"/>
        <family val="3"/>
        <charset val="134"/>
      </rPr>
      <t>非对应</t>
    </r>
    <r>
      <rPr>
        <sz val="8"/>
        <color theme="1"/>
        <rFont val="Times New Roman"/>
        <family val="1"/>
      </rPr>
      <t xml:space="preserve">PR, </t>
    </r>
    <r>
      <rPr>
        <sz val="8"/>
        <color theme="1"/>
        <rFont val="宋体"/>
        <family val="3"/>
        <charset val="134"/>
      </rPr>
      <t>但应该解决此问题</t>
    </r>
    <phoneticPr fontId="1" type="noConversion"/>
  </si>
  <si>
    <r>
      <rPr>
        <sz val="8"/>
        <color rgb="FF00B050"/>
        <rFont val="Times New Roman"/>
        <family val="1"/>
      </rPr>
      <t>in-place mutation</t>
    </r>
    <r>
      <rPr>
        <sz val="8"/>
        <color theme="1"/>
        <rFont val="Times New Roman"/>
        <family val="1"/>
      </rPr>
      <t xml:space="preserve"> inside user-defined differentiation routine</t>
    </r>
    <phoneticPr fontId="1" type="noConversion"/>
  </si>
  <si>
    <r>
      <t xml:space="preserve">torch/_functorch/partitioners.py
PR #155354 </t>
    </r>
    <r>
      <rPr>
        <sz val="8"/>
        <color theme="1"/>
        <rFont val="宋体"/>
        <family val="3"/>
        <charset val="134"/>
      </rPr>
      <t>看起来非常复杂</t>
    </r>
    <r>
      <rPr>
        <sz val="8"/>
        <color theme="1"/>
        <rFont val="Times New Roman"/>
        <family val="1"/>
      </rPr>
      <t xml:space="preserve">, </t>
    </r>
    <r>
      <rPr>
        <sz val="8"/>
        <color theme="1"/>
        <rFont val="宋体"/>
        <family val="3"/>
        <charset val="134"/>
      </rPr>
      <t>修改了很多非</t>
    </r>
    <r>
      <rPr>
        <sz val="8"/>
        <color theme="1"/>
        <rFont val="Times New Roman"/>
        <family val="1"/>
      </rPr>
      <t>dynamo</t>
    </r>
    <r>
      <rPr>
        <sz val="8"/>
        <color theme="1"/>
        <rFont val="宋体"/>
        <family val="3"/>
        <charset val="134"/>
      </rPr>
      <t>内容</t>
    </r>
    <phoneticPr fontId="1" type="noConversion"/>
  </si>
  <si>
    <r>
      <t xml:space="preserve">Compiler merges or reorders forward/backward mutations, </t>
    </r>
    <r>
      <rPr>
        <sz val="8"/>
        <color rgb="FF00B050"/>
        <rFont val="Times New Roman"/>
        <family val="1"/>
      </rPr>
      <t>breaking expected sequencing</t>
    </r>
    <r>
      <rPr>
        <sz val="8"/>
        <color theme="1"/>
        <rFont val="Times New Roman"/>
        <family val="1"/>
      </rPr>
      <t xml:space="preserve"> due to flawed side-effect modeling of autograd state.</t>
    </r>
    <phoneticPr fontId="1" type="noConversion"/>
  </si>
  <si>
    <r>
      <rPr>
        <sz val="8"/>
        <color rgb="FF00B050"/>
        <rFont val="Times New Roman"/>
        <family val="1"/>
      </rPr>
      <t>Environment introspection and RNG changes</t>
    </r>
    <r>
      <rPr>
        <sz val="8"/>
        <color theme="1"/>
        <rFont val="Times New Roman"/>
        <family val="1"/>
      </rPr>
      <t xml:space="preserve"> force graph breaks since side-effects and runtime queries aren’t modeled in-graph.</t>
    </r>
    <phoneticPr fontId="1" type="noConversion"/>
  </si>
  <si>
    <r>
      <rPr>
        <sz val="8"/>
        <color theme="1"/>
        <rFont val="宋体"/>
        <family val="3"/>
        <charset val="134"/>
      </rPr>
      <t>这个</t>
    </r>
    <r>
      <rPr>
        <sz val="8"/>
        <color theme="1"/>
        <rFont val="Times New Roman"/>
        <family val="1"/>
      </rPr>
      <t xml:space="preserve"> PR </t>
    </r>
    <r>
      <rPr>
        <sz val="8"/>
        <color theme="1"/>
        <rFont val="宋体"/>
        <family val="3"/>
        <charset val="134"/>
      </rPr>
      <t>修复了一些不相关的问题，但应该已间接修复这个问题</t>
    </r>
    <phoneticPr fontId="1" type="noConversion"/>
  </si>
  <si>
    <r>
      <t xml:space="preserve">Activation checkpoint's </t>
    </r>
    <r>
      <rPr>
        <sz val="8"/>
        <color rgb="FF00B050"/>
        <rFont val="Times New Roman"/>
        <family val="1"/>
      </rPr>
      <t>RNG state context</t>
    </r>
    <r>
      <rPr>
        <sz val="8"/>
        <color theme="1"/>
        <rFont val="Times New Roman"/>
        <family val="1"/>
      </rPr>
      <t xml:space="preserve"> introduces real tensors during AOT tracing, violating FakeTensor assumptions and failing compilation.</t>
    </r>
    <phoneticPr fontId="1" type="noConversion"/>
  </si>
  <si>
    <r>
      <rPr>
        <sz val="8"/>
        <color rgb="FF00B050"/>
        <rFont val="Times New Roman"/>
        <family val="1"/>
      </rPr>
      <t>Global state mutations</t>
    </r>
    <r>
      <rPr>
        <sz val="8"/>
        <color theme="1"/>
        <rFont val="Times New Roman"/>
        <family val="1"/>
      </rPr>
      <t xml:space="preserve"> in imported module are redundantly tracked, breaking Dynamo’s side-effect model with an assertion.</t>
    </r>
    <phoneticPr fontId="1" type="noConversion"/>
  </si>
  <si>
    <r>
      <rPr>
        <sz val="8"/>
        <color rgb="FF00B050"/>
        <rFont val="Times New Roman"/>
        <family val="1"/>
      </rPr>
      <t>Context manager</t>
    </r>
    <r>
      <rPr>
        <sz val="8"/>
        <color theme="1"/>
        <rFont val="Times New Roman"/>
        <family val="1"/>
      </rPr>
      <t xml:space="preserve"> handling resets </t>
    </r>
    <r>
      <rPr>
        <sz val="8"/>
        <color rgb="FF00B050"/>
        <rFont val="Times New Roman"/>
        <family val="1"/>
      </rPr>
      <t>global warning state</t>
    </r>
    <r>
      <rPr>
        <sz val="8"/>
        <color theme="1"/>
        <rFont val="Times New Roman"/>
        <family val="1"/>
      </rPr>
      <t>, causing repeated warnings during compiled execution versus eager.</t>
    </r>
    <phoneticPr fontId="1" type="noConversion"/>
  </si>
  <si>
    <r>
      <rPr>
        <sz val="8"/>
        <color rgb="FF00B050"/>
        <rFont val="Times New Roman"/>
        <family val="1"/>
      </rPr>
      <t>Global mutation in nested call</t>
    </r>
    <r>
      <rPr>
        <sz val="8"/>
        <color theme="1"/>
        <rFont val="Times New Roman"/>
        <family val="1"/>
      </rPr>
      <t xml:space="preserve"> is not propagated across frames, due to per-frame global state tracking, yielding stale values.</t>
    </r>
    <phoneticPr fontId="1" type="noConversion"/>
  </si>
  <si>
    <r>
      <t xml:space="preserve">Resetting compiler caches leaves compiled function holding stale references; untracked </t>
    </r>
    <r>
      <rPr>
        <sz val="8"/>
        <color rgb="FF00B050"/>
        <rFont val="Times New Roman"/>
        <family val="1"/>
      </rPr>
      <t>global state mutation</t>
    </r>
    <r>
      <rPr>
        <sz val="8"/>
        <color theme="1"/>
        <rFont val="Times New Roman"/>
        <family val="1"/>
      </rPr>
      <t xml:space="preserve"> causes use-after-free and crash.</t>
    </r>
    <phoneticPr fontId="1" type="noConversion"/>
  </si>
  <si>
    <r>
      <t xml:space="preserve">Introspection of a </t>
    </r>
    <r>
      <rPr>
        <sz val="8"/>
        <color rgb="FF00B050"/>
        <rFont val="Times New Roman"/>
        <family val="1"/>
      </rPr>
      <t>partially bound callable</t>
    </r>
    <r>
      <rPr>
        <sz val="8"/>
        <color theme="1"/>
        <rFont val="Times New Roman"/>
        <family val="1"/>
      </rPr>
      <t xml:space="preserve"> fails when </t>
    </r>
    <r>
      <rPr>
        <sz val="8"/>
        <color rgb="FF00B050"/>
        <rFont val="Times New Roman"/>
        <family val="1"/>
      </rPr>
      <t>bound value isn't constant</t>
    </r>
    <r>
      <rPr>
        <sz val="8"/>
        <color theme="1"/>
        <rFont val="Times New Roman"/>
        <family val="1"/>
      </rPr>
      <t>, breaking Dynamo's bytecode modeling.</t>
    </r>
    <phoneticPr fontId="1" type="noConversion"/>
  </si>
  <si>
    <r>
      <rPr>
        <sz val="8"/>
        <color rgb="FF00B050"/>
        <rFont val="Times New Roman"/>
        <family val="1"/>
      </rPr>
      <t>Inline introspection</t>
    </r>
    <r>
      <rPr>
        <sz val="8"/>
        <color theme="1"/>
        <rFont val="Times New Roman"/>
        <family val="1"/>
      </rPr>
      <t xml:space="preserve"> yields a </t>
    </r>
    <r>
      <rPr>
        <sz val="8"/>
        <color rgb="FF00B050"/>
        <rFont val="Times New Roman"/>
        <family val="1"/>
      </rPr>
      <t>mappingproxy container</t>
    </r>
    <r>
      <rPr>
        <sz val="8"/>
        <color theme="1"/>
        <rFont val="Times New Roman"/>
        <family val="1"/>
      </rPr>
      <t xml:space="preserve"> Dynamo can’t model, triggering a graph break and fullgraph compilation abort.</t>
    </r>
    <phoneticPr fontId="1" type="noConversion"/>
  </si>
  <si>
    <r>
      <t xml:space="preserve">overridden attribute access in </t>
    </r>
    <r>
      <rPr>
        <sz val="8"/>
        <color rgb="FF00B050"/>
        <rFont val="Times New Roman"/>
        <family val="1"/>
      </rPr>
      <t>nested</t>
    </r>
    <r>
      <rPr>
        <sz val="8"/>
        <color theme="1"/>
        <rFont val="Times New Roman"/>
        <family val="1"/>
      </rPr>
      <t xml:space="preserve"> object</t>
    </r>
    <phoneticPr fontId="1" type="noConversion"/>
  </si>
  <si>
    <r>
      <t xml:space="preserve">Compiler fails to model </t>
    </r>
    <r>
      <rPr>
        <sz val="8"/>
        <color rgb="FF00B050"/>
        <rFont val="Times New Roman"/>
        <family val="1"/>
      </rPr>
      <t>custom attribute resolution</t>
    </r>
    <r>
      <rPr>
        <sz val="8"/>
        <color theme="1"/>
        <rFont val="Times New Roman"/>
        <family val="1"/>
      </rPr>
      <t>, hitting sourceless builder unsupported type and aborting graph compilation.</t>
    </r>
    <phoneticPr fontId="1" type="noConversion"/>
  </si>
  <si>
    <r>
      <t>Inlining policy</t>
    </r>
    <r>
      <rPr>
        <sz val="8"/>
        <color rgb="FF00B050"/>
        <rFont val="Times New Roman"/>
        <family val="1"/>
      </rPr>
      <t xml:space="preserve"> skips context manager methods</t>
    </r>
    <r>
      <rPr>
        <sz val="8"/>
        <color theme="1"/>
        <rFont val="Times New Roman"/>
        <family val="1"/>
      </rPr>
      <t>, leading Unsupported exception and compilation abort.</t>
    </r>
    <phoneticPr fontId="1" type="noConversion"/>
  </si>
  <si>
    <r>
      <rPr>
        <sz val="8"/>
        <color rgb="FF00B050"/>
        <rFont val="Times New Roman"/>
        <family val="1"/>
      </rPr>
      <t>Module method name shadowed by attribute</t>
    </r>
    <r>
      <rPr>
        <sz val="8"/>
        <color theme="1"/>
        <rFont val="Times New Roman"/>
        <family val="1"/>
      </rPr>
      <t xml:space="preserve"> breaks Dynamo's module introspection, causing a callable assumption to throw during graph construction.</t>
    </r>
    <phoneticPr fontId="1" type="noConversion"/>
  </si>
  <si>
    <r>
      <rPr>
        <sz val="8"/>
        <color rgb="FF00B050"/>
        <rFont val="Times New Roman"/>
        <family val="1"/>
      </rPr>
      <t>Kwarg using a Python keyword</t>
    </r>
    <r>
      <rPr>
        <sz val="8"/>
        <color theme="1"/>
        <rFont val="Times New Roman"/>
        <family val="1"/>
      </rPr>
      <t xml:space="preserve"> is emitted unsanitized in FX source, producing invalid syntax and aborting compilation.</t>
    </r>
    <phoneticPr fontId="1" type="noConversion"/>
  </si>
  <si>
    <r>
      <t xml:space="preserve">Dynamo mis-models </t>
    </r>
    <r>
      <rPr>
        <sz val="8"/>
        <color rgb="FF00B050"/>
        <rFont val="Times New Roman"/>
        <family val="1"/>
      </rPr>
      <t>mixed arithmetic</t>
    </r>
    <r>
      <rPr>
        <sz val="8"/>
        <color theme="1"/>
        <rFont val="Times New Roman"/>
        <family val="1"/>
      </rPr>
      <t>, treating scalars as tensors; inserted tensor-only ops on scalars crash FakeTensor dispatch.</t>
    </r>
    <phoneticPr fontId="1" type="noConversion"/>
  </si>
  <si>
    <r>
      <t xml:space="preserve">Dynamo lacks modeling for </t>
    </r>
    <r>
      <rPr>
        <sz val="8"/>
        <color rgb="FF00B050"/>
        <rFont val="Times New Roman"/>
        <family val="1"/>
      </rPr>
      <t>object identity queries</t>
    </r>
    <r>
      <rPr>
        <sz val="8"/>
        <color theme="1"/>
        <rFont val="Times New Roman"/>
        <family val="1"/>
      </rPr>
      <t>, so conditional control-flow cannot be compiled and compilation aborts.</t>
    </r>
    <phoneticPr fontId="1" type="noConversion"/>
  </si>
  <si>
    <r>
      <t xml:space="preserve">Dynamo lacks modeling for </t>
    </r>
    <r>
      <rPr>
        <sz val="8"/>
        <color rgb="FF00B050"/>
        <rFont val="Times New Roman"/>
        <family val="1"/>
      </rPr>
      <t>built-in conversion on custom objects</t>
    </r>
    <r>
      <rPr>
        <sz val="8"/>
        <color theme="1"/>
        <rFont val="Times New Roman"/>
        <family val="1"/>
      </rPr>
      <t>, marking it unsupported and aborting compilation.</t>
    </r>
    <phoneticPr fontId="1" type="noConversion"/>
  </si>
  <si>
    <r>
      <t xml:space="preserve">A </t>
    </r>
    <r>
      <rPr>
        <sz val="8"/>
        <color rgb="FF00B050"/>
        <rFont val="Times New Roman"/>
        <family val="1"/>
      </rPr>
      <t>built-in call</t>
    </r>
    <r>
      <rPr>
        <sz val="8"/>
        <color theme="1"/>
        <rFont val="Times New Roman"/>
        <family val="1"/>
      </rPr>
      <t xml:space="preserve"> is treated as a string method, misbinding arguments and crashing during compilation.</t>
    </r>
    <phoneticPr fontId="1" type="noConversion"/>
  </si>
  <si>
    <r>
      <t xml:space="preserve">During symbolic attribute access, Dynamo expects __name__ on callables; a </t>
    </r>
    <r>
      <rPr>
        <sz val="8"/>
        <color rgb="FF00B050"/>
        <rFont val="Times New Roman"/>
        <family val="1"/>
      </rPr>
      <t>non-Python callable lacks it</t>
    </r>
    <r>
      <rPr>
        <sz val="8"/>
        <color theme="1"/>
        <rFont val="Times New Roman"/>
        <family val="1"/>
      </rPr>
      <t>, triggering an exception.</t>
    </r>
    <phoneticPr fontId="1" type="noConversion"/>
  </si>
  <si>
    <r>
      <rPr>
        <sz val="8"/>
        <color rgb="FF00B050"/>
        <rFont val="Times New Roman"/>
        <family val="1"/>
      </rPr>
      <t>Scalar tensor shape parameters</t>
    </r>
    <r>
      <rPr>
        <sz val="8"/>
        <color theme="1"/>
        <rFont val="Times New Roman"/>
        <family val="1"/>
      </rPr>
      <t xml:space="preserve"> in containers aren't converted to symbolic integers, breaking fake-tensor execution during graph building and causing failure.</t>
    </r>
    <phoneticPr fontId="1" type="noConversion"/>
  </si>
  <si>
    <r>
      <t xml:space="preserve">Benchmarking context mutates </t>
    </r>
    <r>
      <rPr>
        <sz val="8"/>
        <color rgb="FF00B050"/>
        <rFont val="Times New Roman"/>
        <family val="1"/>
      </rPr>
      <t>global casting state</t>
    </r>
    <r>
      <rPr>
        <sz val="8"/>
        <color theme="1"/>
        <rFont val="Times New Roman"/>
        <family val="1"/>
      </rPr>
      <t>, violating Dynamo’s global-state guard and causing a RecompileError abort.</t>
    </r>
    <phoneticPr fontId="1" type="noConversion"/>
  </si>
  <si>
    <r>
      <rPr>
        <sz val="8"/>
        <color rgb="FF00B050"/>
        <rFont val="Times New Roman"/>
        <family val="1"/>
      </rPr>
      <t>Per-frame cache limits</t>
    </r>
    <r>
      <rPr>
        <sz val="8"/>
        <color theme="1"/>
        <rFont val="Times New Roman"/>
        <family val="1"/>
      </rPr>
      <t xml:space="preserve"> trigger continued inner-frame compilation, causing cascaded recompiles and excessive compile time.</t>
    </r>
    <phoneticPr fontId="1" type="noConversion"/>
  </si>
  <si>
    <r>
      <rPr>
        <sz val="8"/>
        <color rgb="FF00B050"/>
        <rFont val="Times New Roman"/>
        <family val="1"/>
      </rPr>
      <t>Lazy backend registry initialization</t>
    </r>
    <r>
      <rPr>
        <sz val="8"/>
        <color theme="1"/>
        <rFont val="Times New Roman"/>
        <family val="1"/>
      </rPr>
      <t xml:space="preserve"> causes list_backends to omit entrypoint-defined backends until queried.</t>
    </r>
    <phoneticPr fontId="1" type="noConversion"/>
  </si>
  <si>
    <r>
      <t xml:space="preserve">Output signature rewriting misclassifies </t>
    </r>
    <r>
      <rPr>
        <sz val="8"/>
        <color rgb="FF00B050"/>
        <rFont val="Times New Roman"/>
        <family val="1"/>
      </rPr>
      <t>mixed return types</t>
    </r>
    <r>
      <rPr>
        <sz val="8"/>
        <color theme="1"/>
        <rFont val="Times New Roman"/>
        <family val="1"/>
      </rPr>
      <t>, asserting when tensors appear unexpectedly during export.</t>
    </r>
    <phoneticPr fontId="1" type="noConversion"/>
  </si>
  <si>
    <r>
      <t xml:space="preserve">Argument flattening </t>
    </r>
    <r>
      <rPr>
        <sz val="8"/>
        <color rgb="FF00B050"/>
        <rFont val="Times New Roman"/>
        <family val="1"/>
      </rPr>
      <t>miscounts positional parameters</t>
    </r>
    <r>
      <rPr>
        <sz val="8"/>
        <color theme="1"/>
        <rFont val="Times New Roman"/>
        <family val="1"/>
      </rPr>
      <t>, indexing past available inputs during Dynamo export pre-dispatch analysis.</t>
    </r>
    <phoneticPr fontId="1" type="noConversion"/>
  </si>
  <si>
    <r>
      <rPr>
        <sz val="8"/>
        <color rgb="FFFF0000"/>
        <rFont val="Times New Roman"/>
        <family val="1"/>
      </rPr>
      <t>runtime feature flag</t>
    </r>
    <r>
      <rPr>
        <sz val="8"/>
        <color theme="1"/>
        <rFont val="Times New Roman"/>
        <family val="1"/>
      </rPr>
      <t xml:space="preserve"> alters configuration kwargs handling under compilation</t>
    </r>
    <phoneticPr fontId="1" type="noConversion"/>
  </si>
  <si>
    <r>
      <rPr>
        <sz val="8"/>
        <color rgb="FFFF0000"/>
        <rFont val="Times New Roman"/>
        <family val="1"/>
      </rPr>
      <t>Compilation-aware branch skips config sanitization</t>
    </r>
    <r>
      <rPr>
        <sz val="8"/>
        <color theme="1"/>
        <rFont val="Times New Roman"/>
        <family val="1"/>
      </rPr>
      <t>; leftover kwargs cause model validation to raise an error unlike eager.</t>
    </r>
    <phoneticPr fontId="1" type="noConversion"/>
  </si>
  <si>
    <r>
      <t xml:space="preserve">torch/_dynamo/trace_rules.py
</t>
    </r>
    <r>
      <rPr>
        <sz val="8"/>
        <color theme="1"/>
        <rFont val="宋体"/>
        <family val="3"/>
        <charset val="134"/>
      </rPr>
      <t>非对应</t>
    </r>
    <r>
      <rPr>
        <sz val="8"/>
        <color theme="1"/>
        <rFont val="Times New Roman"/>
        <family val="1"/>
      </rPr>
      <t xml:space="preserve">PR, </t>
    </r>
    <r>
      <rPr>
        <sz val="8"/>
        <color theme="1"/>
        <rFont val="宋体"/>
        <family val="3"/>
        <charset val="134"/>
      </rPr>
      <t>但应该解决此问题</t>
    </r>
    <phoneticPr fontId="1" type="noConversion"/>
  </si>
  <si>
    <r>
      <rPr>
        <sz val="8"/>
        <color rgb="FF00B050"/>
        <rFont val="Times New Roman"/>
        <family val="1"/>
      </rPr>
      <t>Unmodeled library predicate</t>
    </r>
    <r>
      <rPr>
        <sz val="8"/>
        <color theme="1"/>
        <rFont val="Times New Roman"/>
        <family val="1"/>
      </rPr>
      <t xml:space="preserve"> cannot be inlined, forcing graph break and failure.</t>
    </r>
    <phoneticPr fontId="1" type="noConversion"/>
  </si>
  <si>
    <r>
      <t xml:space="preserve">Pre-dispatch inlining/skip classification mislabels a </t>
    </r>
    <r>
      <rPr>
        <sz val="8"/>
        <color rgb="FF00B050"/>
        <rFont val="Times New Roman"/>
        <family val="1"/>
      </rPr>
      <t>standalone function</t>
    </r>
    <r>
      <rPr>
        <sz val="8"/>
        <color theme="1"/>
        <rFont val="Times New Roman"/>
        <family val="1"/>
      </rPr>
      <t>, triggering an assertion crash.</t>
    </r>
    <phoneticPr fontId="1" type="noConversion"/>
  </si>
  <si>
    <r>
      <rPr>
        <sz val="8"/>
        <color rgb="FF00B050"/>
        <rFont val="Times New Roman"/>
        <family val="1"/>
      </rPr>
      <t>List outputs</t>
    </r>
    <r>
      <rPr>
        <sz val="8"/>
        <color theme="1"/>
        <rFont val="Times New Roman"/>
        <family val="1"/>
      </rPr>
      <t xml:space="preserve"> require an unflatten helper marked untraceable; fullgraph disallows graph breaks, triggering a crash.</t>
    </r>
    <phoneticPr fontId="1" type="noConversion"/>
  </si>
  <si>
    <t>Other</t>
    <phoneticPr fontId="1" type="noConversion"/>
  </si>
  <si>
    <t>1.1 Incomplete or Missing Object Initialization</t>
    <phoneticPr fontId="1" type="noConversion"/>
  </si>
  <si>
    <t>1.2 Invalid Attribute Lookup &amp; State Updates</t>
    <phoneticPr fontId="1" type="noConversion"/>
  </si>
  <si>
    <t>1.2 Mis-handled Tensor Subclass Attributes</t>
    <phoneticPr fontId="1" type="noConversion"/>
  </si>
  <si>
    <t>1.3 Ignored Magic Method Overrides</t>
    <phoneticPr fontId="1" type="noConversion"/>
  </si>
  <si>
    <t>1.3 Mis-modeled Tensor Subclass Dispatch</t>
    <phoneticPr fontId="1" type="noConversion"/>
  </si>
  <si>
    <t>1.4 Misinterpretation of Descriptors</t>
    <phoneticPr fontId="1" type="noConversion"/>
  </si>
  <si>
    <t>2.1 Mis-modeled Container Abstraction &amp; Instantiation</t>
    <phoneticPr fontId="1" type="noConversion"/>
  </si>
  <si>
    <t>2.2 Untracked Container Mutation</t>
    <phoneticPr fontId="1" type="noConversion"/>
  </si>
  <si>
    <t>3 Desynchronization of Iterator State</t>
    <phoneticPr fontId="1" type="noConversion"/>
  </si>
  <si>
    <t>4 Missing Type Transformation</t>
    <phoneticPr fontId="1" type="noConversion"/>
  </si>
  <si>
    <t>5.1 Uncaptured Context Managers (`with` blocks)</t>
    <phoneticPr fontId="1" type="noConversion"/>
  </si>
  <si>
    <t>5.2 Ignored Exception Handling (`try/except` blocks)</t>
    <phoneticPr fontId="1" type="noConversion"/>
  </si>
  <si>
    <t>5.3 Wrong Closure &amp; Variable Capturing</t>
    <phoneticPr fontId="1" type="noConversion"/>
  </si>
  <si>
    <t>5.4 Untracked Global State &amp; Environment Changes</t>
    <phoneticPr fontId="1" type="noConversion"/>
  </si>
  <si>
    <t>6.1 Untracked Object Attribute Mutations</t>
    <phoneticPr fontId="1" type="noConversion"/>
  </si>
  <si>
    <t>6.2 Untracked Tensor &amp; Metadata Mutations</t>
    <phoneticPr fontId="1" type="noConversion"/>
  </si>
  <si>
    <t>7.1 Overspecialization of Mutable or Ephemeral State</t>
    <phoneticPr fontId="1" type="noConversion"/>
  </si>
  <si>
    <t>1 Wrong modeling of Python Object</t>
  </si>
  <si>
    <t>2 Wrong Modeling of Containers</t>
  </si>
  <si>
    <t>5 Wrong Modeling of Execution Environment &amp; Scope</t>
  </si>
  <si>
    <t xml:space="preserve"> 6 Uncaptured Side Effects</t>
  </si>
  <si>
    <t>7 Guard Overspecialization &amp; Deficiencies</t>
  </si>
  <si>
    <t>Others</t>
    <phoneticPr fontId="1" type="noConversion"/>
  </si>
  <si>
    <t>num</t>
    <phoneticPr fontId="1" type="noConversion"/>
  </si>
  <si>
    <t>Container</t>
  </si>
  <si>
    <t>iterator</t>
  </si>
  <si>
    <t>tensor (method)</t>
  </si>
  <si>
    <t>unsupported op</t>
  </si>
  <si>
    <t>wrapper</t>
  </si>
  <si>
    <t>global state</t>
  </si>
  <si>
    <t>sum</t>
    <phoneticPr fontId="1" type="noConversion"/>
  </si>
  <si>
    <t>Sum</t>
    <phoneticPr fontId="1" type="noConversion"/>
  </si>
  <si>
    <t>Bytecode Execution</t>
  </si>
  <si>
    <t>Pre-dispatch</t>
  </si>
  <si>
    <t>Guards</t>
  </si>
  <si>
    <t>Bug pattern</t>
    <phoneticPr fontId="1" type="noConversion"/>
  </si>
  <si>
    <t>Description</t>
    <phoneticPr fontId="1" type="noConversion"/>
  </si>
  <si>
    <t>TorchDynamo symbolically models objects without fully executing their constructors, leaving instances in a partially initialized state. This occurs because TorchDynamo wraps instances into symbolic proxies rather than faithfully replaying their construction logic. Delegated or chained constructor calls may be skipped or only partially traced, and initialization branches that conditionally set fields are never exercised. As a result, subsequent attribute access, hashing, comparison, or truth-value evaluation can fail or exhibit behaviors inconsistent with eager execution.</t>
    <phoneticPr fontId="1" type="noConversion"/>
  </si>
  <si>
    <t>TorchDynamo resolves attributes through a fixed symbolic lookup protocol that does not cover the full diversity of Python's attribute model. This occurs because Dynamo's variable abstraction layer only models common attribute access patterns, leaving existence checks, dynamic attribute lookups, and attribute-shadowed callables unhandled. Furthermore, attribute mutations through custom containers or mappings may not tracked as side effects, so internal state updates — such as training mode switches — are silently lost. As a result, compilation either aborts with an unsupported operation error or produces graphs whose runtime state diverges from eager execution.</t>
    <phoneticPr fontId="1" type="noConversion"/>
  </si>
  <si>
    <t>TorchDynamo dispatches operators and special methods based on the static type of symbolic variables rather than honoring user-defined overrides. This occurs because Dynamo's variable abstraction does not consider user-defined overrides, and thus resolves special method calls directly to built-in defaults without checking custom implementation. As a result, compiled code silently produces incorrect results or object states that diverge from eager execution.</t>
    <phoneticPr fontId="1" type="noConversion"/>
  </si>
  <si>
    <t>TorchDynamo models attribute access and method binding based on simplified assumptions that do not account for Python's descriptor protocol. This occurs because Dynamo's symbolic execution does not correctly distinguish between plain attributes, descriptor-backed properties, and bound methods, leading it to misclassify descriptors as methods or model decorated and copied methods as plain functions. As a result, argument binding is silently dropped or mismatched, causing assertion failures or crashes during compilation.</t>
    <phoneticPr fontId="1" type="noConversion"/>
  </si>
  <si>
    <t>TorchDynamo models tensor operations based on the base tensor type, without correctly accounting for subclass-specific dispatch behavior. This occurs because Dynamo's symbolic execution does not fully track type identity through subclassing, causing subclass method overrides and custom dispatch routes to be misclassified as generic object calls or unhandled builtins. As a result, operator dispatch silently falls back to incorrect implementations or triggers unsupported operation errors, forcing graph breaks or aborting compilation entirely.</t>
    <phoneticPr fontId="1" type="noConversion"/>
  </si>
  <si>
    <t>TorchDynamo maps container types to a fixed set of symbolic variable abstractions using registration-based type dispatch. Container subclasses not explicitly registered in this dispatch table are either demoted to their base canonical types or rejected as unsupported. This causes custom retrieval methods, incremental construction logic, and specialized iteration protocols defined in unregistered subclasses to be silently bypassed or misclassified during symbolic execution. As a result, compilation either aborts with a graph break or produces containers whose structure and contents diverge from eager execution.</t>
    <phoneticPr fontId="1" type="noConversion"/>
  </si>
  <si>
    <t>TorchDynamo models container mutations against a fixed set of recognized bytecode-level modification patterns, failing to track state changes that occur through indirect or composite pathways. This occurs because the compiler's mutation tracking does not extend to dictionary merging, iterator-driven unpacking, interleaved updates during generator evaluation, or attribute modifications on mappings within scoped contexts. These untracked mutations leave the compiler's symbolic container state stale. As a result, compilation either aborts with unsupported-operation errors or produces container contents that diverge from eager execution.</t>
    <phoneticPr fontId="1" type="noConversion"/>
  </si>
  <si>
    <t>TorchDynamo's symbolic execution fails to faithfully track iterator advancement and exhaustion state during compilation. This occurs because the bytecode interpreter lacks complete modeling for generators, lazy iterables, and multi-source iteration protocols — their internal progression state is either absent from or inconsistent with the compiler's symbolic representation. Type information for yielded values may be unavailable, and dead intermediate values from iteration may not be reclaimed. As a result, compilation either aborts with unsupported-operation errors or emits redundant computations inconsistent with eager execution.</t>
    <phoneticPr fontId="1" type="noConversion"/>
  </si>
  <si>
    <t>TorchDynamo propagates type information through symbolic execution without applying the implicit type coercions that Python and PyTorch perform at runtime. This occurs because Dynamo's symbolic modeling does not consider that scalars, strings, and optional values may undergo type promotion, device placement, or truthiness evaluation differently from their tensor counterparts. As a result, operations are dispatched against incorrectly typed symbolic values, causing crashes during fake-tensor execution, wrong branch selection, or runtime behavior that diverges from eager execution.</t>
    <phoneticPr fontId="1" type="noConversion"/>
  </si>
  <si>
    <t>TorchDynamo does not fully capture the effects of context managers during symbolic execution, leaving runtime dispatch state and operator rewrites unmodeled in the compiled graph. This occurs because Dynamo's bytecode emulation may treat context manager entry and exit as unrecognized or unsupported constructs. Therefore, decorator-generated managers, mode-driven operator overrides, and stateful contexts like autocast are not preserved across graph boundaries. As a result, compiled graphs silently bypass mode-driven rewrites, accumulate inconsistent execution state across graph breaks, or abort compilation entirely with an unsupported operation error.</t>
    <phoneticPr fontId="1" type="noConversion"/>
  </si>
  <si>
    <t>TorchDynamo does not model exception handling semantics during symbolic execution, causing try/except blocks to be bypassed rather than traced as control flow. This occurs because Dynamo's bytecode emulation performs operations such as constant folding and attribute resolution outside the scope of surrounding exception handlers, so errors that should be caught and recovered from instead propagate as unhandled failures. As a result, intended fallback behavior is silently lost, and compilation either produces incorrect constants or aborts unexpectedly.</t>
    <phoneticPr fontId="1" type="noConversion"/>
  </si>
  <si>
    <t>TorchDynamo does not correctly reconstruct closure environments when inlining nested or decorated functions, causing captured variables to be missing, stale, or misresolved during compilation. This occurs because Dynamo's inlining mechanism does not fully model closure cell semantics, sometimes failing to handle shared cells, decorator-induced indirection, or cell reconstruction when closures escape the compiled region. As a result, captured variable reads silently return incorrect values, or compilation aborts due to assertion failures during function reconstruction.</t>
    <phoneticPr fontId="1" type="noConversion"/>
  </si>
  <si>
    <t>TorchDynamo's compilation model fails to faithfully track mutations to global state and runtime environment. This occurs because the compiler's guard and cache mechanisms do not incorporate all relevant configuration, RNG state, or environment variables into validity checks — global mutations in nested calls are tracked per-frame rather than propagated across boundaries, and stale graphs may be reused after configuration changes. As a result, compilation either aborts due to side-effect modeling violations, or silently produces behavior inconsistent with eager execution from stale cached state.</t>
    <phoneticPr fontId="1" type="noConversion"/>
  </si>
  <si>
    <t>1.2 Invalid Attribute Access</t>
    <phoneticPr fontId="1" type="noConversion"/>
  </si>
  <si>
    <t>TorchDynamo does not fully track object attribute mutations that occur during or between compilations, causing compiled graphs to operate on outdated object state. This occurs because Dynamo's side-effect model captures attribute values at trace time and does not propagate subsequent reassignments, removals, or deferred initialization back into the compiled representation. As a result, compiled code silently reads stale attribute values, fails to resolve dynamically assigned attributes, or aborts compilation when unsupported mutations are encountered under fullgraph mode.</t>
    <phoneticPr fontId="1" type="noConversion"/>
  </si>
  <si>
    <t>TorchDynamo over-specializes guards on mutable or ephemeral values, binding compiled graphs too tightly to the specific state observed at trace time. This occurs because Dynamo's guard generation defaults to constant-folding or identity-based specialization for object attributes and scalar inputs, rather than treating them symbolically when their values may change across invocations. As a result, legitimate mutations or varying inputs invalidate cached graphs and trigger repeated recompilation, while post-compile mutations to specialized attributes are silently ignored in subsequent executions.</t>
    <phoneticPr fontId="1" type="noConversion"/>
  </si>
  <si>
    <t>TorchDynamo fails to fully model side effects of tensor mutations and metadata changes during compilation. This occurs because the compiler's side-effect model does not account for implicit shape resizing through output arguments, in-place shape changes that invalidate dynamic-shape guards, or autograd state transitions across forward and backward boundaries. Mutation sequencing may also be reordered or merged, and mutations at custom autograd boundaries are misflagged. As a result, compilation either aborts with assertion errors or produces tensor shapes and autograd state inconsistent with eager execution.</t>
    <phoneticPr fontId="1" type="noConversion"/>
  </si>
  <si>
    <t>TorchDynamo over-specializes guards on tensor shapes, producing overly rigid constraints that fail to generalize across varying input dimensions. This occurs because Dynamo's guard generation defaults to constant or equality-based shape guards rather than propagating relational constraints into symbolic analysis, causing data-derived shapes, strided comparisons, and floor-division expressions to be mis-modeled or left unresolvable. As a result, compiled graphs either recompile unnecessarily when dimensions change or abort compilation when symbolic shape constraints cannot be validated.</t>
    <phoneticPr fontId="1" type="noConversion"/>
  </si>
  <si>
    <t>TorchDynamo fails to generate guards for all runtime conditions that affect compiled graph validity, allowing incorrect graphs to be reused under changed execution contexts. This occurs because Dynamo's guard generation does not account for ambient context state, inherited attributes, identity reuse across object lifetimes, or certain structural access patterns, leaving these dimensions unguarded or incorrectly validated. As a result, compiled graphs are silently reused under mismatched conditions, producing incorrect outputs or triggering runtime assertion failures.</t>
    <phoneticPr fontId="1" type="noConversion"/>
  </si>
  <si>
    <t>timeout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</si>
</sst>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1"/>
      <color theme="1"/>
      <name val="宋体"/>
      <family val="2"/>
      <scheme val="minor"/>
    </font>
    <font>
      <sz val="9"/>
      <name val="宋体"/>
      <family val="3"/>
      <charset val="134"/>
      <scheme val="minor"/>
    </font>
    <font>
      <b/>
      <sz val="10"/>
      <name val="Times New Roman"/>
      <family val="1"/>
    </font>
    <font>
      <sz val="10"/>
      <color theme="1"/>
      <name val="Times New Roman"/>
      <family val="1"/>
    </font>
    <font>
      <sz val="10"/>
      <color rgb="FFFF0000"/>
      <name val="Times New Roman"/>
      <family val="1"/>
    </font>
    <font>
      <b/>
      <sz val="10"/>
      <color theme="1"/>
      <name val="Times New Roman"/>
      <family val="1"/>
    </font>
    <font>
      <sz val="10"/>
      <color theme="1"/>
      <name val="Times New Roman"/>
      <family val="1"/>
      <charset val="134"/>
    </font>
    <font>
      <sz val="10"/>
      <color theme="1"/>
      <name val="宋体"/>
      <family val="1"/>
      <charset val="134"/>
    </font>
    <font>
      <sz val="10"/>
      <color theme="1"/>
      <name val="等线"/>
      <family val="1"/>
      <charset val="134"/>
    </font>
    <font>
      <sz val="10"/>
      <color theme="1"/>
      <name val="宋体"/>
      <family val="3"/>
      <charset val="134"/>
    </font>
    <font>
      <sz val="11"/>
      <color theme="1"/>
      <name val="Times New Roman"/>
      <family val="1"/>
    </font>
    <font>
      <sz val="10"/>
      <color rgb="FF00B050"/>
      <name val="Times New Roman"/>
      <family val="1"/>
    </font>
    <font>
      <sz val="10"/>
      <color rgb="FF00B050"/>
      <name val="宋体"/>
      <family val="3"/>
      <charset val="134"/>
    </font>
    <font>
      <i/>
      <sz val="10"/>
      <color theme="0" tint="-0.34998626667073579"/>
      <name val="Times New Roman"/>
      <family val="1"/>
    </font>
    <font>
      <i/>
      <sz val="10"/>
      <color theme="0" tint="-0.34998626667073579"/>
      <name val="宋体"/>
      <family val="3"/>
      <charset val="134"/>
    </font>
    <font>
      <b/>
      <sz val="10"/>
      <color theme="1"/>
      <name val="宋体"/>
      <family val="3"/>
      <charset val="134"/>
    </font>
    <font>
      <i/>
      <sz val="10"/>
      <color theme="0" tint="-0.249977111117893"/>
      <name val="Times New Roman"/>
      <family val="1"/>
    </font>
    <font>
      <i/>
      <sz val="10"/>
      <color theme="0" tint="-0.249977111117893"/>
      <name val="宋体"/>
      <family val="3"/>
      <charset val="134"/>
    </font>
    <font>
      <sz val="10"/>
      <color theme="1"/>
      <name val="Arial Unicode MS"/>
      <family val="2"/>
    </font>
    <font>
      <sz val="10"/>
      <color theme="1"/>
      <name val="Times New Roman"/>
      <family val="3"/>
      <charset val="134"/>
    </font>
    <font>
      <i/>
      <sz val="10"/>
      <color theme="0" tint="-0.249977111117893"/>
      <name val="Times New Roman"/>
      <family val="3"/>
      <charset val="134"/>
    </font>
    <font>
      <b/>
      <sz val="7"/>
      <color rgb="FF333333"/>
      <name val="Arial"/>
      <family val="2"/>
    </font>
    <font>
      <sz val="10"/>
      <color theme="1"/>
      <name val="SimSun"/>
      <family val="1"/>
      <charset val="134"/>
    </font>
    <font>
      <b/>
      <sz val="8"/>
      <name val="Times New Roman"/>
      <family val="1"/>
    </font>
    <font>
      <b/>
      <sz val="8"/>
      <color theme="1"/>
      <name val="Times New Roman"/>
      <family val="1"/>
    </font>
    <font>
      <sz val="8"/>
      <color theme="1"/>
      <name val="Times New Roman"/>
      <family val="1"/>
    </font>
    <font>
      <sz val="8"/>
      <color theme="1"/>
      <name val="Times New Roman"/>
      <family val="3"/>
      <charset val="134"/>
    </font>
    <font>
      <sz val="8"/>
      <color theme="1"/>
      <name val="宋体"/>
      <family val="3"/>
      <charset val="134"/>
    </font>
    <font>
      <sz val="8"/>
      <color rgb="FF00B050"/>
      <name val="Times New Roman"/>
      <family val="1"/>
    </font>
    <font>
      <sz val="8"/>
      <color rgb="FFFF0000"/>
      <name val="Times New Roman"/>
      <family val="1"/>
    </font>
    <font>
      <sz val="8"/>
      <color theme="1"/>
      <name val="宋体"/>
      <family val="2"/>
      <scheme val="minor"/>
    </font>
    <font>
      <b/>
      <sz val="8"/>
      <color rgb="FF333333"/>
      <name val="Times New Roman"/>
      <family val="1"/>
    </font>
    <font>
      <sz val="10"/>
      <color theme="1"/>
      <name val="Malgun Gothic Semilight"/>
      <family val="2"/>
      <charset val="134"/>
    </font>
    <font>
      <sz val="10"/>
      <color rgb="FF333333"/>
      <name val="Malgun Gothic Semilight"/>
      <family val="2"/>
      <charset val="134"/>
    </font>
  </fonts>
  <fills count="2">
    <fill>
      <patternFill patternType="none"/>
    </fill>
    <fill>
      <patternFill patternType="gray125"/>
    </fill>
  </fills>
  <borders count="8">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s>
  <cellStyleXfs count="1">
    <xf numFmtId="0" fontId="0" fillId="0" borderId="0"/>
  </cellStyleXfs>
  <cellXfs count="52">
    <xf numFmtId="0" fontId="0" fillId="0" borderId="0" xfId="0"/>
    <xf numFmtId="0" fontId="3" fillId="0" borderId="1" xfId="0" applyFont="1" applyBorder="1" applyAlignment="1">
      <alignment horizontal="center" wrapText="1"/>
    </xf>
    <xf numFmtId="0" fontId="4" fillId="0" borderId="1" xfId="0" applyFont="1" applyBorder="1" applyAlignment="1">
      <alignment horizontal="center" wrapText="1"/>
    </xf>
    <xf numFmtId="0" fontId="5" fillId="0" borderId="1" xfId="0" applyFont="1" applyBorder="1" applyAlignment="1">
      <alignment horizontal="center" wrapText="1"/>
    </xf>
    <xf numFmtId="0" fontId="3" fillId="0" borderId="1" xfId="0" applyFont="1" applyBorder="1" applyAlignment="1">
      <alignment horizontal="left" wrapText="1"/>
    </xf>
    <xf numFmtId="0" fontId="4" fillId="0" borderId="1" xfId="0" applyFont="1" applyBorder="1" applyAlignment="1">
      <alignment horizontal="left" wrapText="1"/>
    </xf>
    <xf numFmtId="0" fontId="10" fillId="0" borderId="1" xfId="0" applyFont="1" applyBorder="1"/>
    <xf numFmtId="0" fontId="0" fillId="0" borderId="0" xfId="0" applyAlignment="1">
      <alignment horizontal="right"/>
    </xf>
    <xf numFmtId="0" fontId="13" fillId="0" borderId="1" xfId="0" applyFont="1" applyBorder="1" applyAlignment="1">
      <alignment horizontal="center" wrapText="1"/>
    </xf>
    <xf numFmtId="0" fontId="13" fillId="0" borderId="1" xfId="0" applyFont="1" applyBorder="1" applyAlignment="1">
      <alignment horizontal="left" wrapText="1"/>
    </xf>
    <xf numFmtId="0" fontId="3" fillId="0" borderId="0" xfId="0" applyFont="1" applyAlignment="1">
      <alignment wrapText="1"/>
    </xf>
    <xf numFmtId="0" fontId="6" fillId="0" borderId="0" xfId="0" applyFont="1" applyAlignment="1">
      <alignment wrapText="1"/>
    </xf>
    <xf numFmtId="0" fontId="16" fillId="0" borderId="1" xfId="0" applyFont="1" applyBorder="1" applyAlignment="1">
      <alignment horizontal="center" wrapText="1"/>
    </xf>
    <xf numFmtId="0" fontId="16" fillId="0" borderId="1" xfId="0" applyFont="1" applyBorder="1" applyAlignment="1">
      <alignment horizontal="left" wrapText="1"/>
    </xf>
    <xf numFmtId="0" fontId="18" fillId="0" borderId="0" xfId="0" applyFont="1"/>
    <xf numFmtId="0" fontId="19" fillId="0" borderId="1" xfId="0" applyFont="1" applyBorder="1" applyAlignment="1">
      <alignment horizontal="left" wrapText="1"/>
    </xf>
    <xf numFmtId="0" fontId="3" fillId="0" borderId="0" xfId="0" applyFont="1" applyAlignment="1">
      <alignment horizontal="left" wrapText="1"/>
    </xf>
    <xf numFmtId="0" fontId="11" fillId="0" borderId="1" xfId="0" applyFont="1" applyBorder="1" applyAlignment="1">
      <alignment horizontal="left" wrapText="1"/>
    </xf>
    <xf numFmtId="0" fontId="7" fillId="0" borderId="0" xfId="0" applyFont="1" applyAlignment="1">
      <alignment wrapText="1"/>
    </xf>
    <xf numFmtId="0" fontId="20" fillId="0" borderId="1" xfId="0" applyFont="1" applyBorder="1" applyAlignment="1">
      <alignment horizontal="left" wrapText="1"/>
    </xf>
    <xf numFmtId="0" fontId="3" fillId="0" borderId="3" xfId="0" applyFont="1" applyBorder="1" applyAlignment="1">
      <alignment wrapText="1"/>
    </xf>
    <xf numFmtId="0" fontId="3" fillId="0" borderId="1" xfId="0" applyFont="1" applyBorder="1" applyAlignment="1">
      <alignment wrapText="1"/>
    </xf>
    <xf numFmtId="0" fontId="5" fillId="0" borderId="2" xfId="0" applyFont="1" applyBorder="1" applyAlignment="1">
      <alignment horizontal="center" wrapText="1"/>
    </xf>
    <xf numFmtId="0" fontId="3" fillId="0" borderId="2" xfId="0" applyFont="1" applyBorder="1" applyAlignment="1">
      <alignment wrapText="1"/>
    </xf>
    <xf numFmtId="0" fontId="6" fillId="0" borderId="2" xfId="0" applyFont="1" applyBorder="1" applyAlignment="1">
      <alignment wrapText="1"/>
    </xf>
    <xf numFmtId="0" fontId="23" fillId="0" borderId="1" xfId="0" applyFont="1" applyBorder="1" applyAlignment="1">
      <alignment vertical="center" wrapText="1"/>
    </xf>
    <xf numFmtId="0" fontId="24" fillId="0" borderId="1" xfId="0" applyFont="1" applyBorder="1" applyAlignment="1">
      <alignment horizontal="center" wrapText="1"/>
    </xf>
    <xf numFmtId="0" fontId="23" fillId="0" borderId="3" xfId="0" applyFont="1" applyBorder="1" applyAlignment="1">
      <alignment vertical="center" wrapText="1"/>
    </xf>
    <xf numFmtId="0" fontId="25" fillId="0" borderId="1" xfId="0" applyFont="1" applyBorder="1" applyAlignment="1">
      <alignment horizontal="center" wrapText="1"/>
    </xf>
    <xf numFmtId="0" fontId="25" fillId="0" borderId="1" xfId="0" applyFont="1" applyBorder="1" applyAlignment="1">
      <alignment horizontal="left" wrapText="1"/>
    </xf>
    <xf numFmtId="0" fontId="26" fillId="0" borderId="1" xfId="0" applyFont="1" applyBorder="1" applyAlignment="1">
      <alignment horizontal="left" wrapText="1"/>
    </xf>
    <xf numFmtId="0" fontId="29" fillId="0" borderId="1" xfId="0" applyFont="1" applyBorder="1" applyAlignment="1">
      <alignment horizontal="left" wrapText="1"/>
    </xf>
    <xf numFmtId="0" fontId="29" fillId="0" borderId="1" xfId="0" applyFont="1" applyBorder="1" applyAlignment="1">
      <alignment horizontal="center" wrapText="1"/>
    </xf>
    <xf numFmtId="0" fontId="28" fillId="0" borderId="1" xfId="0" applyFont="1" applyBorder="1" applyAlignment="1">
      <alignment horizontal="left" wrapText="1"/>
    </xf>
    <xf numFmtId="0" fontId="24" fillId="0" borderId="1" xfId="0" applyFont="1" applyBorder="1" applyAlignment="1">
      <alignment horizontal="left" wrapText="1"/>
    </xf>
    <xf numFmtId="0" fontId="31" fillId="0" borderId="1" xfId="0" applyFont="1" applyBorder="1" applyAlignment="1">
      <alignment wrapText="1"/>
    </xf>
    <xf numFmtId="0" fontId="24" fillId="0" borderId="1" xfId="0" applyFont="1" applyBorder="1" applyAlignment="1">
      <alignment wrapText="1"/>
    </xf>
    <xf numFmtId="0" fontId="30" fillId="0" borderId="0" xfId="0" applyFont="1" applyAlignment="1">
      <alignment wrapText="1"/>
    </xf>
    <xf numFmtId="0" fontId="30" fillId="0" borderId="7" xfId="0" applyFont="1" applyBorder="1" applyAlignment="1">
      <alignment wrapText="1"/>
    </xf>
    <xf numFmtId="0" fontId="0" fillId="0" borderId="1" xfId="0" applyBorder="1"/>
    <xf numFmtId="0" fontId="21" fillId="0" borderId="1" xfId="0" applyFont="1" applyBorder="1" applyAlignment="1">
      <alignment wrapText="1"/>
    </xf>
    <xf numFmtId="0" fontId="32" fillId="0" borderId="0" xfId="0" applyFont="1" applyAlignment="1">
      <alignment wrapText="1"/>
    </xf>
    <xf numFmtId="0" fontId="33" fillId="0" borderId="1" xfId="0" applyFont="1" applyBorder="1" applyAlignment="1">
      <alignment wrapText="1"/>
    </xf>
    <xf numFmtId="0" fontId="23" fillId="0" borderId="5" xfId="0" applyFont="1" applyBorder="1" applyAlignment="1">
      <alignment horizontal="center" vertical="center" wrapText="1"/>
    </xf>
    <xf numFmtId="0" fontId="23" fillId="0" borderId="6" xfId="0" applyFont="1" applyBorder="1" applyAlignment="1">
      <alignment horizontal="center" vertical="center" wrapText="1"/>
    </xf>
    <xf numFmtId="0" fontId="21" fillId="0" borderId="1" xfId="0" applyFont="1" applyBorder="1" applyAlignment="1">
      <alignment horizontal="center" wrapText="1"/>
    </xf>
    <xf numFmtId="0" fontId="25" fillId="0" borderId="1" xfId="0" applyFont="1" applyBorder="1" applyAlignment="1">
      <alignment horizontal="center" wrapText="1"/>
    </xf>
    <xf numFmtId="0" fontId="31" fillId="0" borderId="1" xfId="0" applyFont="1" applyBorder="1" applyAlignment="1">
      <alignment horizontal="center" wrapText="1"/>
    </xf>
    <xf numFmtId="0" fontId="2" fillId="0" borderId="1" xfId="0" applyFont="1" applyBorder="1" applyAlignment="1">
      <alignment horizontal="center" vertical="center" wrapText="1"/>
    </xf>
    <xf numFmtId="0" fontId="5" fillId="0" borderId="2" xfId="0" applyFont="1" applyBorder="1" applyAlignment="1">
      <alignment horizont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6B393-E4A0-42D8-8FFA-B9F8EAD4509D}">
  <dimension ref="A1:L125"/>
  <sheetViews>
    <sheetView tabSelected="1" topLeftCell="A79" zoomScaleNormal="100" workbookViewId="0">
      <selection activeCell="A2" sqref="A2:G124"/>
    </sheetView>
  </sheetViews>
  <sheetFormatPr defaultColWidth="8.875" defaultRowHeight="13.5"/>
  <cols>
    <col min="1" max="1" width="6.375" style="37" customWidth="1"/>
    <col min="2" max="3" width="27.25" style="37" customWidth="1"/>
    <col min="4" max="4" width="17.75" style="37" customWidth="1"/>
    <col min="5" max="5" width="35.875" style="37" customWidth="1"/>
    <col min="6" max="6" width="10.25" style="37" customWidth="1"/>
    <col min="7" max="7" width="18.875" style="37" customWidth="1"/>
    <col min="8" max="8" width="35.125" customWidth="1"/>
    <col min="9" max="9" width="21.125" customWidth="1"/>
    <col min="10" max="10" width="21.375" customWidth="1"/>
  </cols>
  <sheetData>
    <row r="1" spans="1:11" ht="14.25">
      <c r="A1" s="25" t="s">
        <v>0</v>
      </c>
      <c r="B1" s="43" t="s">
        <v>1</v>
      </c>
      <c r="C1" s="44"/>
      <c r="D1" s="26" t="s">
        <v>455</v>
      </c>
      <c r="E1" s="26" t="s">
        <v>134</v>
      </c>
      <c r="F1" s="26" t="s">
        <v>456</v>
      </c>
      <c r="G1" s="25" t="s">
        <v>687</v>
      </c>
      <c r="H1" s="22"/>
    </row>
    <row r="2" spans="1:11" ht="47.25" customHeight="1">
      <c r="A2" s="28">
        <v>116264</v>
      </c>
      <c r="B2" s="29" t="s">
        <v>16</v>
      </c>
      <c r="C2" s="30" t="s">
        <v>703</v>
      </c>
      <c r="D2" s="29" t="s">
        <v>223</v>
      </c>
      <c r="E2" s="29" t="s">
        <v>704</v>
      </c>
      <c r="F2" s="29" t="s">
        <v>210</v>
      </c>
      <c r="G2" s="35" t="s">
        <v>832</v>
      </c>
      <c r="H2" s="23"/>
      <c r="K2" t="s">
        <v>855</v>
      </c>
    </row>
    <row r="3" spans="1:11" ht="47.25" customHeight="1">
      <c r="A3" s="28">
        <v>128075</v>
      </c>
      <c r="B3" s="29" t="s">
        <v>39</v>
      </c>
      <c r="C3" s="29" t="s">
        <v>40</v>
      </c>
      <c r="D3" s="29" t="s">
        <v>254</v>
      </c>
      <c r="E3" s="29" t="s">
        <v>705</v>
      </c>
      <c r="F3" s="29" t="s">
        <v>210</v>
      </c>
      <c r="G3" s="35" t="s">
        <v>832</v>
      </c>
      <c r="H3" s="23"/>
      <c r="I3" s="45" t="s">
        <v>849</v>
      </c>
      <c r="J3" s="35" t="s">
        <v>832</v>
      </c>
      <c r="K3" s="39">
        <f>COUNTIFS(G:G,J3)</f>
        <v>3</v>
      </c>
    </row>
    <row r="4" spans="1:11" ht="47.25" customHeight="1">
      <c r="A4" s="28">
        <v>145284</v>
      </c>
      <c r="B4" s="29" t="s">
        <v>171</v>
      </c>
      <c r="C4" s="29" t="s">
        <v>25</v>
      </c>
      <c r="D4" s="29" t="s">
        <v>398</v>
      </c>
      <c r="E4" s="29" t="s">
        <v>706</v>
      </c>
      <c r="F4" s="29" t="s">
        <v>210</v>
      </c>
      <c r="G4" s="35" t="s">
        <v>832</v>
      </c>
      <c r="H4" s="24"/>
      <c r="I4" s="45"/>
      <c r="J4" s="35" t="s">
        <v>833</v>
      </c>
      <c r="K4" s="39">
        <f>COUNTIFS(G:G,J4)+1</f>
        <v>9</v>
      </c>
    </row>
    <row r="5" spans="1:11" ht="47.25" customHeight="1">
      <c r="A5" s="28">
        <v>129742</v>
      </c>
      <c r="B5" s="29" t="s">
        <v>51</v>
      </c>
      <c r="C5" s="29" t="s">
        <v>707</v>
      </c>
      <c r="D5" s="29" t="s">
        <v>267</v>
      </c>
      <c r="E5" s="29" t="s">
        <v>708</v>
      </c>
      <c r="F5" s="29" t="s">
        <v>210</v>
      </c>
      <c r="G5" s="35" t="s">
        <v>833</v>
      </c>
      <c r="H5" s="23"/>
      <c r="I5" s="45"/>
      <c r="J5" s="35" t="s">
        <v>835</v>
      </c>
      <c r="K5" s="39">
        <f>COUNTIFS(G:G,J5)+4</f>
        <v>7</v>
      </c>
    </row>
    <row r="6" spans="1:11" ht="47.25" customHeight="1">
      <c r="A6" s="28">
        <v>132237</v>
      </c>
      <c r="B6" s="29" t="s">
        <v>76</v>
      </c>
      <c r="C6" s="29" t="s">
        <v>77</v>
      </c>
      <c r="D6" s="29" t="s">
        <v>295</v>
      </c>
      <c r="E6" s="29" t="s">
        <v>709</v>
      </c>
      <c r="F6" s="29" t="s">
        <v>210</v>
      </c>
      <c r="G6" s="35" t="s">
        <v>833</v>
      </c>
      <c r="H6" s="24"/>
      <c r="I6" s="45"/>
      <c r="J6" s="35" t="s">
        <v>837</v>
      </c>
      <c r="K6" s="39">
        <f t="shared" ref="K6:K7" si="0">COUNTIFS(G:G,J6)</f>
        <v>4</v>
      </c>
    </row>
    <row r="7" spans="1:11" ht="47.25" customHeight="1">
      <c r="A7" s="28">
        <v>132399</v>
      </c>
      <c r="B7" s="29" t="s">
        <v>79</v>
      </c>
      <c r="C7" s="29" t="s">
        <v>80</v>
      </c>
      <c r="D7" s="29" t="s">
        <v>297</v>
      </c>
      <c r="E7" s="29" t="s">
        <v>715</v>
      </c>
      <c r="F7" s="29" t="s">
        <v>210</v>
      </c>
      <c r="G7" s="35" t="s">
        <v>833</v>
      </c>
      <c r="H7" s="24"/>
      <c r="I7" s="45" t="s">
        <v>850</v>
      </c>
      <c r="J7" s="35" t="s">
        <v>838</v>
      </c>
      <c r="K7" s="39">
        <f t="shared" si="0"/>
        <v>9</v>
      </c>
    </row>
    <row r="8" spans="1:11" ht="47.25" customHeight="1">
      <c r="A8" s="28">
        <v>136257</v>
      </c>
      <c r="B8" s="29" t="s">
        <v>106</v>
      </c>
      <c r="C8" s="29" t="s">
        <v>63</v>
      </c>
      <c r="D8" s="29" t="s">
        <v>340</v>
      </c>
      <c r="E8" s="29" t="s">
        <v>710</v>
      </c>
      <c r="F8" s="29" t="s">
        <v>210</v>
      </c>
      <c r="G8" s="35" t="s">
        <v>833</v>
      </c>
      <c r="H8" s="23"/>
      <c r="I8" s="45"/>
      <c r="J8" s="35" t="s">
        <v>839</v>
      </c>
      <c r="K8" s="39">
        <f>COUNTIFS(G:G,J8)</f>
        <v>6</v>
      </c>
    </row>
    <row r="9" spans="1:11" ht="47.25" customHeight="1">
      <c r="A9" s="28">
        <v>137764</v>
      </c>
      <c r="B9" s="29" t="s">
        <v>114</v>
      </c>
      <c r="C9" s="29" t="s">
        <v>63</v>
      </c>
      <c r="D9" s="29" t="s">
        <v>346</v>
      </c>
      <c r="E9" s="29" t="s">
        <v>711</v>
      </c>
      <c r="F9" s="29" t="s">
        <v>210</v>
      </c>
      <c r="G9" s="35" t="s">
        <v>833</v>
      </c>
      <c r="H9" s="23"/>
      <c r="I9" s="47" t="s">
        <v>840</v>
      </c>
      <c r="J9" s="47"/>
      <c r="K9" s="39">
        <f>COUNTIFS(G:G,I9)</f>
        <v>4</v>
      </c>
    </row>
    <row r="10" spans="1:11" ht="47.25" customHeight="1">
      <c r="A10" s="28">
        <v>138188</v>
      </c>
      <c r="B10" s="29" t="s">
        <v>119</v>
      </c>
      <c r="C10" s="29" t="s">
        <v>712</v>
      </c>
      <c r="D10" s="29" t="s">
        <v>350</v>
      </c>
      <c r="E10" s="29" t="s">
        <v>351</v>
      </c>
      <c r="F10" s="31" t="s">
        <v>210</v>
      </c>
      <c r="G10" s="35" t="s">
        <v>833</v>
      </c>
      <c r="H10" s="24"/>
      <c r="I10" s="47" t="s">
        <v>841</v>
      </c>
      <c r="J10" s="47"/>
      <c r="K10" s="39">
        <f>COUNTIFS(G:G,I10)</f>
        <v>8</v>
      </c>
    </row>
    <row r="11" spans="1:11" ht="47.25" customHeight="1">
      <c r="A11" s="28">
        <v>138224</v>
      </c>
      <c r="B11" s="29" t="s">
        <v>120</v>
      </c>
      <c r="C11" s="29" t="s">
        <v>121</v>
      </c>
      <c r="D11" s="29" t="s">
        <v>352</v>
      </c>
      <c r="E11" s="29" t="s">
        <v>713</v>
      </c>
      <c r="F11" s="29" t="s">
        <v>210</v>
      </c>
      <c r="G11" s="35" t="s">
        <v>833</v>
      </c>
      <c r="H11" s="24"/>
      <c r="I11" s="45" t="s">
        <v>851</v>
      </c>
      <c r="J11" s="35" t="s">
        <v>842</v>
      </c>
      <c r="K11" s="39">
        <f>COUNTIFS(G:G,J11)</f>
        <v>7</v>
      </c>
    </row>
    <row r="12" spans="1:11" ht="47.25" customHeight="1">
      <c r="A12" s="32">
        <v>139167</v>
      </c>
      <c r="B12" s="29" t="s">
        <v>127</v>
      </c>
      <c r="C12" s="29" t="s">
        <v>42</v>
      </c>
      <c r="D12" s="29" t="s">
        <v>357</v>
      </c>
      <c r="E12" s="29" t="s">
        <v>812</v>
      </c>
      <c r="F12" s="29" t="s">
        <v>210</v>
      </c>
      <c r="G12" s="35" t="s">
        <v>833</v>
      </c>
      <c r="H12" s="23"/>
      <c r="I12" s="45"/>
      <c r="J12" s="35" t="s">
        <v>843</v>
      </c>
      <c r="K12" s="39">
        <f t="shared" ref="K12:K19" si="1">COUNTIFS(G:G,J12)</f>
        <v>3</v>
      </c>
    </row>
    <row r="13" spans="1:11" ht="47.25" customHeight="1">
      <c r="A13" s="28">
        <v>133762</v>
      </c>
      <c r="B13" s="29" t="s">
        <v>94</v>
      </c>
      <c r="C13" s="29" t="s">
        <v>63</v>
      </c>
      <c r="D13" s="29" t="s">
        <v>317</v>
      </c>
      <c r="E13" s="29" t="s">
        <v>688</v>
      </c>
      <c r="F13" s="29" t="s">
        <v>210</v>
      </c>
      <c r="G13" s="35" t="s">
        <v>835</v>
      </c>
      <c r="H13" s="23"/>
      <c r="I13" s="45"/>
      <c r="J13" s="35" t="s">
        <v>844</v>
      </c>
      <c r="K13" s="39">
        <f t="shared" si="1"/>
        <v>5</v>
      </c>
    </row>
    <row r="14" spans="1:11" ht="47.25" customHeight="1">
      <c r="A14" s="28">
        <v>142055</v>
      </c>
      <c r="B14" s="29" t="s">
        <v>158</v>
      </c>
      <c r="C14" s="29" t="s">
        <v>159</v>
      </c>
      <c r="D14" s="29" t="s">
        <v>689</v>
      </c>
      <c r="E14" s="29" t="s">
        <v>721</v>
      </c>
      <c r="F14" s="29" t="s">
        <v>210</v>
      </c>
      <c r="G14" s="35" t="s">
        <v>835</v>
      </c>
      <c r="H14" s="24"/>
      <c r="I14" s="45"/>
      <c r="J14" s="35" t="s">
        <v>845</v>
      </c>
      <c r="K14" s="39">
        <f t="shared" si="1"/>
        <v>9</v>
      </c>
    </row>
    <row r="15" spans="1:11" ht="47.25" customHeight="1">
      <c r="A15" s="28">
        <v>150765</v>
      </c>
      <c r="B15" s="29" t="s">
        <v>186</v>
      </c>
      <c r="C15" s="29" t="s">
        <v>187</v>
      </c>
      <c r="D15" s="29" t="s">
        <v>427</v>
      </c>
      <c r="E15" s="29" t="s">
        <v>722</v>
      </c>
      <c r="F15" s="29" t="s">
        <v>210</v>
      </c>
      <c r="G15" s="35" t="s">
        <v>835</v>
      </c>
      <c r="H15" s="23"/>
      <c r="I15" s="45" t="s">
        <v>852</v>
      </c>
      <c r="J15" s="35" t="s">
        <v>846</v>
      </c>
      <c r="K15" s="39">
        <f t="shared" si="1"/>
        <v>9</v>
      </c>
    </row>
    <row r="16" spans="1:11" ht="47.25" customHeight="1">
      <c r="A16" s="28">
        <v>120799</v>
      </c>
      <c r="B16" s="29" t="s">
        <v>19</v>
      </c>
      <c r="C16" s="29" t="s">
        <v>20</v>
      </c>
      <c r="D16" s="29" t="s">
        <v>716</v>
      </c>
      <c r="E16" s="29" t="s">
        <v>717</v>
      </c>
      <c r="F16" s="29" t="s">
        <v>210</v>
      </c>
      <c r="G16" s="36" t="s">
        <v>836</v>
      </c>
      <c r="H16" s="23"/>
      <c r="I16" s="45"/>
      <c r="J16" s="35" t="s">
        <v>847</v>
      </c>
      <c r="K16" s="39">
        <f t="shared" si="1"/>
        <v>7</v>
      </c>
    </row>
    <row r="17" spans="1:12" ht="47.25" customHeight="1">
      <c r="A17" s="28">
        <v>128961</v>
      </c>
      <c r="B17" s="29" t="s">
        <v>47</v>
      </c>
      <c r="C17" s="29" t="s">
        <v>42</v>
      </c>
      <c r="D17" s="29" t="s">
        <v>262</v>
      </c>
      <c r="E17" s="29" t="s">
        <v>718</v>
      </c>
      <c r="F17" s="29" t="s">
        <v>210</v>
      </c>
      <c r="G17" s="36" t="s">
        <v>836</v>
      </c>
      <c r="H17" s="23"/>
      <c r="I17" s="45" t="s">
        <v>853</v>
      </c>
      <c r="J17" s="40" t="s">
        <v>700</v>
      </c>
      <c r="K17" s="39">
        <f t="shared" si="1"/>
        <v>6</v>
      </c>
    </row>
    <row r="18" spans="1:12" ht="47.25" customHeight="1">
      <c r="A18" s="28">
        <v>141232</v>
      </c>
      <c r="B18" s="29" t="s">
        <v>150</v>
      </c>
      <c r="C18" s="29" t="s">
        <v>40</v>
      </c>
      <c r="D18" s="29" t="s">
        <v>376</v>
      </c>
      <c r="E18" s="29" t="s">
        <v>719</v>
      </c>
      <c r="F18" s="29" t="s">
        <v>210</v>
      </c>
      <c r="G18" s="36" t="s">
        <v>836</v>
      </c>
      <c r="H18" s="24"/>
      <c r="I18" s="45"/>
      <c r="J18" s="40" t="s">
        <v>701</v>
      </c>
      <c r="K18" s="39">
        <f t="shared" si="1"/>
        <v>5</v>
      </c>
    </row>
    <row r="19" spans="1:12" ht="47.25" customHeight="1">
      <c r="A19" s="28">
        <v>150265</v>
      </c>
      <c r="B19" s="29" t="s">
        <v>19</v>
      </c>
      <c r="C19" s="29" t="s">
        <v>20</v>
      </c>
      <c r="D19" s="29" t="s">
        <v>420</v>
      </c>
      <c r="E19" s="29" t="s">
        <v>720</v>
      </c>
      <c r="F19" s="29" t="s">
        <v>210</v>
      </c>
      <c r="G19" s="36" t="s">
        <v>836</v>
      </c>
      <c r="H19" s="24"/>
      <c r="I19" s="45"/>
      <c r="J19" s="40" t="s">
        <v>702</v>
      </c>
      <c r="K19" s="39">
        <f t="shared" si="1"/>
        <v>7</v>
      </c>
      <c r="L19">
        <f>SUM(K3:K19)</f>
        <v>108</v>
      </c>
    </row>
    <row r="20" spans="1:12" ht="47.25" customHeight="1">
      <c r="A20" s="28">
        <v>124247</v>
      </c>
      <c r="B20" s="29" t="s">
        <v>29</v>
      </c>
      <c r="C20" s="29" t="s">
        <v>30</v>
      </c>
      <c r="D20" s="29" t="s">
        <v>242</v>
      </c>
      <c r="E20" s="29" t="s">
        <v>723</v>
      </c>
      <c r="F20" s="29" t="s">
        <v>210</v>
      </c>
      <c r="G20" s="35" t="s">
        <v>837</v>
      </c>
      <c r="H20" s="23"/>
      <c r="I20" s="46" t="s">
        <v>854</v>
      </c>
      <c r="J20" s="46"/>
      <c r="K20" s="39">
        <f>COUNTIFS(G:G,I20)</f>
        <v>16</v>
      </c>
    </row>
    <row r="21" spans="1:12" ht="47.25" customHeight="1">
      <c r="A21" s="28">
        <v>134451</v>
      </c>
      <c r="B21" s="29" t="s">
        <v>96</v>
      </c>
      <c r="C21" s="29" t="s">
        <v>97</v>
      </c>
      <c r="D21" s="29" t="s">
        <v>319</v>
      </c>
      <c r="E21" s="29" t="s">
        <v>724</v>
      </c>
      <c r="F21" s="29" t="s">
        <v>210</v>
      </c>
      <c r="G21" s="35" t="s">
        <v>837</v>
      </c>
      <c r="H21" s="23"/>
      <c r="I21" s="39"/>
      <c r="J21" s="39"/>
      <c r="K21" s="39">
        <f>SUM(K3:K20)</f>
        <v>124</v>
      </c>
    </row>
    <row r="22" spans="1:12" ht="47.25" customHeight="1">
      <c r="A22" s="28">
        <v>137476</v>
      </c>
      <c r="B22" s="29" t="s">
        <v>113</v>
      </c>
      <c r="C22" s="29" t="s">
        <v>63</v>
      </c>
      <c r="D22" s="29" t="s">
        <v>345</v>
      </c>
      <c r="E22" s="29" t="s">
        <v>725</v>
      </c>
      <c r="F22" s="29" t="s">
        <v>210</v>
      </c>
      <c r="G22" s="35" t="s">
        <v>837</v>
      </c>
      <c r="H22" s="23"/>
    </row>
    <row r="23" spans="1:12" ht="47.25" customHeight="1">
      <c r="A23" s="28">
        <v>155841</v>
      </c>
      <c r="B23" s="29" t="s">
        <v>200</v>
      </c>
      <c r="C23" s="29" t="s">
        <v>201</v>
      </c>
      <c r="D23" s="29" t="s">
        <v>139</v>
      </c>
      <c r="E23" s="29" t="s">
        <v>726</v>
      </c>
      <c r="F23" s="29" t="s">
        <v>210</v>
      </c>
      <c r="G23" s="35" t="s">
        <v>837</v>
      </c>
      <c r="H23" s="23"/>
    </row>
    <row r="24" spans="1:12" ht="47.25" customHeight="1">
      <c r="A24" s="28">
        <v>130554</v>
      </c>
      <c r="B24" s="29" t="s">
        <v>56</v>
      </c>
      <c r="C24" s="29" t="s">
        <v>57</v>
      </c>
      <c r="D24" s="29" t="s">
        <v>273</v>
      </c>
      <c r="E24" s="29" t="s">
        <v>727</v>
      </c>
      <c r="F24" s="29" t="s">
        <v>210</v>
      </c>
      <c r="G24" s="35" t="s">
        <v>838</v>
      </c>
      <c r="H24" s="23"/>
    </row>
    <row r="25" spans="1:12" ht="47.25" customHeight="1">
      <c r="A25" s="32">
        <v>130557</v>
      </c>
      <c r="B25" s="29" t="s">
        <v>58</v>
      </c>
      <c r="C25" s="29" t="s">
        <v>59</v>
      </c>
      <c r="D25" s="29" t="s">
        <v>274</v>
      </c>
      <c r="E25" s="29" t="s">
        <v>728</v>
      </c>
      <c r="F25" s="29" t="s">
        <v>210</v>
      </c>
      <c r="G25" s="35" t="s">
        <v>838</v>
      </c>
      <c r="H25" s="23"/>
    </row>
    <row r="26" spans="1:12" ht="47.25" customHeight="1">
      <c r="A26" s="28">
        <v>132629</v>
      </c>
      <c r="B26" s="29" t="s">
        <v>86</v>
      </c>
      <c r="C26" s="29" t="s">
        <v>63</v>
      </c>
      <c r="D26" s="29" t="s">
        <v>303</v>
      </c>
      <c r="E26" s="29" t="s">
        <v>729</v>
      </c>
      <c r="F26" s="29" t="s">
        <v>210</v>
      </c>
      <c r="G26" s="35" t="s">
        <v>838</v>
      </c>
      <c r="H26" s="23"/>
    </row>
    <row r="27" spans="1:12" ht="47.25" customHeight="1">
      <c r="A27" s="28">
        <v>133302</v>
      </c>
      <c r="B27" s="29" t="s">
        <v>93</v>
      </c>
      <c r="C27" s="29" t="s">
        <v>13</v>
      </c>
      <c r="D27" s="29" t="s">
        <v>312</v>
      </c>
      <c r="E27" s="29" t="s">
        <v>730</v>
      </c>
      <c r="F27" s="29" t="s">
        <v>210</v>
      </c>
      <c r="G27" s="35" t="s">
        <v>838</v>
      </c>
      <c r="H27" s="24"/>
    </row>
    <row r="28" spans="1:12" ht="47.25" customHeight="1">
      <c r="A28" s="28">
        <v>134086</v>
      </c>
      <c r="B28" s="29" t="s">
        <v>95</v>
      </c>
      <c r="C28" s="29" t="s">
        <v>18</v>
      </c>
      <c r="D28" s="29" t="s">
        <v>318</v>
      </c>
      <c r="E28" s="29" t="s">
        <v>731</v>
      </c>
      <c r="F28" s="29" t="s">
        <v>210</v>
      </c>
      <c r="G28" s="35" t="s">
        <v>838</v>
      </c>
      <c r="H28" s="23"/>
    </row>
    <row r="29" spans="1:12" ht="47.25" customHeight="1">
      <c r="A29" s="28">
        <v>135329</v>
      </c>
      <c r="B29" s="29" t="s">
        <v>105</v>
      </c>
      <c r="C29" s="29" t="s">
        <v>90</v>
      </c>
      <c r="D29" s="29" t="s">
        <v>329</v>
      </c>
      <c r="E29" s="29" t="s">
        <v>732</v>
      </c>
      <c r="F29" s="29" t="s">
        <v>210</v>
      </c>
      <c r="G29" s="35" t="s">
        <v>838</v>
      </c>
      <c r="H29" s="23"/>
    </row>
    <row r="30" spans="1:12" ht="47.25" customHeight="1">
      <c r="A30" s="32">
        <v>141118</v>
      </c>
      <c r="B30" s="29" t="s">
        <v>146</v>
      </c>
      <c r="C30" s="29" t="s">
        <v>147</v>
      </c>
      <c r="D30" s="29" t="s">
        <v>374</v>
      </c>
      <c r="E30" s="29" t="s">
        <v>733</v>
      </c>
      <c r="F30" s="29" t="s">
        <v>210</v>
      </c>
      <c r="G30" s="35" t="s">
        <v>838</v>
      </c>
      <c r="H30" s="23"/>
    </row>
    <row r="31" spans="1:12" ht="47.25" customHeight="1">
      <c r="A31" s="28">
        <v>150110</v>
      </c>
      <c r="B31" s="29" t="s">
        <v>182</v>
      </c>
      <c r="C31" s="29" t="s">
        <v>57</v>
      </c>
      <c r="D31" s="29" t="s">
        <v>419</v>
      </c>
      <c r="E31" s="29" t="s">
        <v>734</v>
      </c>
      <c r="F31" s="29" t="s">
        <v>210</v>
      </c>
      <c r="G31" s="35" t="s">
        <v>838</v>
      </c>
      <c r="H31" s="24"/>
    </row>
    <row r="32" spans="1:12" ht="47.25" customHeight="1">
      <c r="A32" s="28">
        <v>155426</v>
      </c>
      <c r="B32" s="29" t="s">
        <v>199</v>
      </c>
      <c r="C32" s="29" t="s">
        <v>40</v>
      </c>
      <c r="D32" s="29" t="s">
        <v>445</v>
      </c>
      <c r="E32" s="29" t="s">
        <v>830</v>
      </c>
      <c r="F32" s="29" t="s">
        <v>208</v>
      </c>
      <c r="G32" s="35" t="s">
        <v>838</v>
      </c>
      <c r="H32" s="23"/>
    </row>
    <row r="33" spans="1:8" ht="47.25" customHeight="1">
      <c r="A33" s="28">
        <v>128067</v>
      </c>
      <c r="B33" s="29" t="s">
        <v>36</v>
      </c>
      <c r="C33" s="29" t="s">
        <v>25</v>
      </c>
      <c r="D33" s="29" t="s">
        <v>252</v>
      </c>
      <c r="E33" s="29" t="s">
        <v>735</v>
      </c>
      <c r="F33" s="29" t="s">
        <v>210</v>
      </c>
      <c r="G33" s="35" t="s">
        <v>839</v>
      </c>
      <c r="H33" s="23"/>
    </row>
    <row r="34" spans="1:8" ht="47.25" customHeight="1">
      <c r="A34" s="28">
        <v>132800</v>
      </c>
      <c r="B34" s="29" t="s">
        <v>89</v>
      </c>
      <c r="C34" s="29" t="s">
        <v>90</v>
      </c>
      <c r="D34" s="29" t="s">
        <v>306</v>
      </c>
      <c r="E34" s="29" t="s">
        <v>736</v>
      </c>
      <c r="F34" s="29" t="s">
        <v>210</v>
      </c>
      <c r="G34" s="35" t="s">
        <v>839</v>
      </c>
      <c r="H34" s="23"/>
    </row>
    <row r="35" spans="1:8" ht="47.25" customHeight="1">
      <c r="A35" s="28">
        <v>133063</v>
      </c>
      <c r="B35" s="29" t="s">
        <v>91</v>
      </c>
      <c r="C35" s="29" t="s">
        <v>92</v>
      </c>
      <c r="D35" s="33" t="s">
        <v>308</v>
      </c>
      <c r="E35" s="29" t="s">
        <v>309</v>
      </c>
      <c r="F35" s="29" t="s">
        <v>210</v>
      </c>
      <c r="G35" s="35" t="s">
        <v>839</v>
      </c>
      <c r="H35" s="24"/>
    </row>
    <row r="36" spans="1:8" ht="47.25" customHeight="1">
      <c r="A36" s="28">
        <v>138412</v>
      </c>
      <c r="B36" s="29" t="s">
        <v>122</v>
      </c>
      <c r="C36" s="29" t="s">
        <v>90</v>
      </c>
      <c r="D36" s="29" t="s">
        <v>353</v>
      </c>
      <c r="E36" s="29" t="s">
        <v>737</v>
      </c>
      <c r="F36" s="29" t="s">
        <v>210</v>
      </c>
      <c r="G36" s="35" t="s">
        <v>839</v>
      </c>
      <c r="H36" s="23"/>
    </row>
    <row r="37" spans="1:8" ht="47.25" customHeight="1">
      <c r="A37" s="28">
        <v>141283</v>
      </c>
      <c r="B37" s="29" t="s">
        <v>151</v>
      </c>
      <c r="C37" s="29" t="s">
        <v>152</v>
      </c>
      <c r="D37" s="29" t="s">
        <v>377</v>
      </c>
      <c r="E37" s="29" t="s">
        <v>738</v>
      </c>
      <c r="F37" s="29" t="s">
        <v>210</v>
      </c>
      <c r="G37" s="35" t="s">
        <v>839</v>
      </c>
      <c r="H37" s="23"/>
    </row>
    <row r="38" spans="1:8" ht="47.25" customHeight="1">
      <c r="A38" s="28">
        <v>141375</v>
      </c>
      <c r="B38" s="29" t="s">
        <v>153</v>
      </c>
      <c r="C38" s="29" t="s">
        <v>63</v>
      </c>
      <c r="D38" s="29" t="s">
        <v>378</v>
      </c>
      <c r="E38" s="29" t="s">
        <v>739</v>
      </c>
      <c r="F38" s="29" t="s">
        <v>210</v>
      </c>
      <c r="G38" s="35" t="s">
        <v>839</v>
      </c>
      <c r="H38" s="24"/>
    </row>
    <row r="39" spans="1:8" ht="47.25" customHeight="1">
      <c r="A39" s="28">
        <v>117026</v>
      </c>
      <c r="B39" s="29" t="s">
        <v>17</v>
      </c>
      <c r="C39" s="29" t="s">
        <v>18</v>
      </c>
      <c r="D39" s="29" t="s">
        <v>225</v>
      </c>
      <c r="E39" s="29" t="s">
        <v>740</v>
      </c>
      <c r="F39" s="29" t="s">
        <v>210</v>
      </c>
      <c r="G39" s="35" t="s">
        <v>840</v>
      </c>
      <c r="H39" s="23"/>
    </row>
    <row r="40" spans="1:8" ht="47.25" customHeight="1">
      <c r="A40" s="28">
        <v>124653</v>
      </c>
      <c r="B40" s="29" t="s">
        <v>31</v>
      </c>
      <c r="C40" s="29" t="s">
        <v>25</v>
      </c>
      <c r="D40" s="29" t="s">
        <v>741</v>
      </c>
      <c r="E40" s="29" t="s">
        <v>244</v>
      </c>
      <c r="F40" s="29" t="s">
        <v>210</v>
      </c>
      <c r="G40" s="35" t="s">
        <v>840</v>
      </c>
      <c r="H40" s="23"/>
    </row>
    <row r="41" spans="1:8" ht="47.25" customHeight="1">
      <c r="A41" s="28">
        <v>128072</v>
      </c>
      <c r="B41" s="29" t="s">
        <v>37</v>
      </c>
      <c r="C41" s="29" t="s">
        <v>38</v>
      </c>
      <c r="D41" s="29" t="s">
        <v>253</v>
      </c>
      <c r="E41" s="29" t="s">
        <v>742</v>
      </c>
      <c r="F41" s="29" t="s">
        <v>210</v>
      </c>
      <c r="G41" s="35" t="s">
        <v>840</v>
      </c>
      <c r="H41" s="23"/>
    </row>
    <row r="42" spans="1:8" ht="47.25" customHeight="1">
      <c r="A42" s="28">
        <v>128944</v>
      </c>
      <c r="B42" s="29" t="s">
        <v>44</v>
      </c>
      <c r="C42" s="29" t="s">
        <v>38</v>
      </c>
      <c r="D42" s="29" t="s">
        <v>260</v>
      </c>
      <c r="E42" s="29" t="s">
        <v>743</v>
      </c>
      <c r="F42" s="29" t="s">
        <v>210</v>
      </c>
      <c r="G42" s="35" t="s">
        <v>840</v>
      </c>
      <c r="H42" s="24"/>
    </row>
    <row r="43" spans="1:8" ht="47.25" customHeight="1">
      <c r="A43" s="28">
        <v>125078</v>
      </c>
      <c r="B43" s="29" t="s">
        <v>32</v>
      </c>
      <c r="C43" s="29" t="s">
        <v>33</v>
      </c>
      <c r="D43" s="29" t="s">
        <v>245</v>
      </c>
      <c r="E43" s="29" t="s">
        <v>814</v>
      </c>
      <c r="F43" s="29" t="s">
        <v>210</v>
      </c>
      <c r="G43" s="35" t="s">
        <v>841</v>
      </c>
      <c r="H43" s="24"/>
    </row>
    <row r="44" spans="1:8" ht="47.25" customHeight="1">
      <c r="A44" s="28">
        <v>132222</v>
      </c>
      <c r="B44" s="29" t="s">
        <v>74</v>
      </c>
      <c r="C44" s="29" t="s">
        <v>75</v>
      </c>
      <c r="D44" s="29" t="s">
        <v>294</v>
      </c>
      <c r="E44" s="29" t="s">
        <v>744</v>
      </c>
      <c r="F44" s="29" t="s">
        <v>210</v>
      </c>
      <c r="G44" s="35" t="s">
        <v>841</v>
      </c>
      <c r="H44" s="23"/>
    </row>
    <row r="45" spans="1:8" ht="47.25" customHeight="1">
      <c r="A45" s="28">
        <v>138077</v>
      </c>
      <c r="B45" s="29" t="s">
        <v>115</v>
      </c>
      <c r="C45" s="29" t="s">
        <v>80</v>
      </c>
      <c r="D45" s="29" t="s">
        <v>347</v>
      </c>
      <c r="E45" s="29" t="s">
        <v>745</v>
      </c>
      <c r="F45" s="29" t="s">
        <v>210</v>
      </c>
      <c r="G45" s="35" t="s">
        <v>841</v>
      </c>
      <c r="H45" s="24"/>
    </row>
    <row r="46" spans="1:8" ht="47.25" customHeight="1">
      <c r="A46" s="28">
        <v>144957</v>
      </c>
      <c r="B46" s="29" t="s">
        <v>168</v>
      </c>
      <c r="C46" s="29" t="s">
        <v>169</v>
      </c>
      <c r="D46" s="29" t="s">
        <v>396</v>
      </c>
      <c r="E46" s="29" t="s">
        <v>690</v>
      </c>
      <c r="F46" s="29" t="s">
        <v>210</v>
      </c>
      <c r="G46" s="35" t="s">
        <v>841</v>
      </c>
      <c r="H46" s="23"/>
    </row>
    <row r="47" spans="1:8" ht="47.25" customHeight="1">
      <c r="A47" s="28">
        <v>145277</v>
      </c>
      <c r="B47" s="29" t="s">
        <v>170</v>
      </c>
      <c r="C47" s="29" t="s">
        <v>746</v>
      </c>
      <c r="D47" s="29" t="s">
        <v>397</v>
      </c>
      <c r="E47" s="29" t="s">
        <v>747</v>
      </c>
      <c r="F47" s="29" t="s">
        <v>210</v>
      </c>
      <c r="G47" s="35" t="s">
        <v>841</v>
      </c>
      <c r="H47" s="24"/>
    </row>
    <row r="48" spans="1:8" ht="47.25" customHeight="1">
      <c r="A48" s="28">
        <v>149509</v>
      </c>
      <c r="B48" s="29" t="s">
        <v>179</v>
      </c>
      <c r="C48" s="29" t="s">
        <v>42</v>
      </c>
      <c r="D48" s="29" t="s">
        <v>416</v>
      </c>
      <c r="E48" s="29" t="s">
        <v>748</v>
      </c>
      <c r="F48" s="29" t="s">
        <v>210</v>
      </c>
      <c r="G48" s="35" t="s">
        <v>841</v>
      </c>
      <c r="H48" s="23"/>
    </row>
    <row r="49" spans="1:8" ht="47.25" customHeight="1">
      <c r="A49" s="28">
        <v>149840</v>
      </c>
      <c r="B49" s="29" t="s">
        <v>180</v>
      </c>
      <c r="C49" s="29" t="s">
        <v>181</v>
      </c>
      <c r="D49" s="29" t="s">
        <v>417</v>
      </c>
      <c r="E49" s="29" t="s">
        <v>418</v>
      </c>
      <c r="F49" s="29" t="s">
        <v>208</v>
      </c>
      <c r="G49" s="35" t="s">
        <v>841</v>
      </c>
      <c r="H49" s="23"/>
    </row>
    <row r="50" spans="1:8" ht="47.25" customHeight="1">
      <c r="A50" s="28">
        <v>156720</v>
      </c>
      <c r="B50" s="29" t="s">
        <v>202</v>
      </c>
      <c r="C50" s="29" t="s">
        <v>30</v>
      </c>
      <c r="D50" s="29" t="s">
        <v>450</v>
      </c>
      <c r="E50" s="29" t="s">
        <v>819</v>
      </c>
      <c r="F50" s="29" t="s">
        <v>210</v>
      </c>
      <c r="G50" s="35" t="s">
        <v>841</v>
      </c>
      <c r="H50" s="23"/>
    </row>
    <row r="51" spans="1:8" ht="47.25" customHeight="1">
      <c r="A51" s="28">
        <v>105929</v>
      </c>
      <c r="B51" s="29" t="s">
        <v>7</v>
      </c>
      <c r="C51" s="29" t="s">
        <v>8</v>
      </c>
      <c r="D51" s="29" t="s">
        <v>692</v>
      </c>
      <c r="E51" s="29" t="s">
        <v>754</v>
      </c>
      <c r="F51" s="29" t="s">
        <v>208</v>
      </c>
      <c r="G51" s="35" t="s">
        <v>842</v>
      </c>
      <c r="H51" s="24"/>
    </row>
    <row r="52" spans="1:8" ht="47.25" customHeight="1">
      <c r="A52" s="28">
        <v>115520</v>
      </c>
      <c r="B52" s="29" t="s">
        <v>14</v>
      </c>
      <c r="C52" s="29" t="s">
        <v>15</v>
      </c>
      <c r="D52" s="29" t="s">
        <v>222</v>
      </c>
      <c r="E52" s="29" t="s">
        <v>691</v>
      </c>
      <c r="F52" s="31" t="s">
        <v>208</v>
      </c>
      <c r="G52" s="35" t="s">
        <v>842</v>
      </c>
      <c r="H52" s="23"/>
    </row>
    <row r="53" spans="1:8" ht="47.25" customHeight="1">
      <c r="A53" s="32">
        <v>130559</v>
      </c>
      <c r="B53" s="29" t="s">
        <v>60</v>
      </c>
      <c r="C53" s="29" t="s">
        <v>61</v>
      </c>
      <c r="D53" s="29" t="s">
        <v>275</v>
      </c>
      <c r="E53" s="29" t="s">
        <v>749</v>
      </c>
      <c r="F53" s="29" t="s">
        <v>208</v>
      </c>
      <c r="G53" s="35" t="s">
        <v>842</v>
      </c>
      <c r="H53" s="23"/>
    </row>
    <row r="54" spans="1:8" ht="47.25" customHeight="1">
      <c r="A54" s="28">
        <v>131154</v>
      </c>
      <c r="B54" s="29" t="s">
        <v>69</v>
      </c>
      <c r="C54" s="29" t="s">
        <v>70</v>
      </c>
      <c r="D54" s="29" t="s">
        <v>753</v>
      </c>
      <c r="E54" s="29" t="s">
        <v>286</v>
      </c>
      <c r="F54" s="29" t="s">
        <v>206</v>
      </c>
      <c r="G54" s="35" t="s">
        <v>842</v>
      </c>
      <c r="H54" s="23"/>
    </row>
    <row r="55" spans="1:8" ht="47.25" customHeight="1">
      <c r="A55" s="28">
        <v>134608</v>
      </c>
      <c r="B55" s="29" t="s">
        <v>98</v>
      </c>
      <c r="C55" s="29" t="s">
        <v>99</v>
      </c>
      <c r="D55" s="29" t="s">
        <v>321</v>
      </c>
      <c r="E55" s="29" t="s">
        <v>750</v>
      </c>
      <c r="F55" s="31" t="s">
        <v>208</v>
      </c>
      <c r="G55" s="35" t="s">
        <v>842</v>
      </c>
      <c r="H55" s="23"/>
    </row>
    <row r="56" spans="1:8" ht="47.25" customHeight="1">
      <c r="A56" s="28">
        <v>139183</v>
      </c>
      <c r="B56" s="29" t="s">
        <v>128</v>
      </c>
      <c r="C56" s="29" t="s">
        <v>40</v>
      </c>
      <c r="D56" s="29" t="s">
        <v>358</v>
      </c>
      <c r="E56" s="29" t="s">
        <v>755</v>
      </c>
      <c r="F56" s="29" t="s">
        <v>208</v>
      </c>
      <c r="G56" s="35" t="s">
        <v>842</v>
      </c>
      <c r="H56" s="23"/>
    </row>
    <row r="57" spans="1:8" ht="47.25" customHeight="1">
      <c r="A57" s="28">
        <v>147776</v>
      </c>
      <c r="B57" s="29" t="s">
        <v>174</v>
      </c>
      <c r="C57" s="29" t="s">
        <v>751</v>
      </c>
      <c r="D57" s="29" t="s">
        <v>406</v>
      </c>
      <c r="E57" s="29" t="s">
        <v>752</v>
      </c>
      <c r="F57" s="31" t="s">
        <v>208</v>
      </c>
      <c r="G57" s="35" t="s">
        <v>842</v>
      </c>
      <c r="H57" s="23"/>
    </row>
    <row r="58" spans="1:8" ht="47.25" customHeight="1">
      <c r="A58" s="28">
        <v>132362</v>
      </c>
      <c r="B58" s="29" t="s">
        <v>78</v>
      </c>
      <c r="C58" s="29" t="s">
        <v>25</v>
      </c>
      <c r="D58" s="29" t="s">
        <v>296</v>
      </c>
      <c r="E58" s="29" t="s">
        <v>693</v>
      </c>
      <c r="F58" s="29" t="s">
        <v>208</v>
      </c>
      <c r="G58" s="35" t="s">
        <v>843</v>
      </c>
      <c r="H58" s="23"/>
    </row>
    <row r="59" spans="1:8" ht="47.25" customHeight="1">
      <c r="A59" s="28">
        <v>132551</v>
      </c>
      <c r="B59" s="29" t="s">
        <v>81</v>
      </c>
      <c r="C59" s="29" t="s">
        <v>82</v>
      </c>
      <c r="D59" s="29" t="s">
        <v>299</v>
      </c>
      <c r="E59" s="29" t="s">
        <v>756</v>
      </c>
      <c r="F59" s="31" t="s">
        <v>208</v>
      </c>
      <c r="G59" s="35" t="s">
        <v>843</v>
      </c>
      <c r="H59" s="23"/>
    </row>
    <row r="60" spans="1:8" ht="47.25" customHeight="1">
      <c r="A60" s="28">
        <v>153605</v>
      </c>
      <c r="B60" s="29" t="s">
        <v>194</v>
      </c>
      <c r="C60" s="29" t="s">
        <v>77</v>
      </c>
      <c r="D60" s="29" t="s">
        <v>436</v>
      </c>
      <c r="E60" s="29" t="s">
        <v>757</v>
      </c>
      <c r="F60" s="29" t="s">
        <v>208</v>
      </c>
      <c r="G60" s="35" t="s">
        <v>843</v>
      </c>
      <c r="H60" s="23"/>
    </row>
    <row r="61" spans="1:8" ht="47.25" customHeight="1">
      <c r="A61" s="28">
        <v>134731</v>
      </c>
      <c r="B61" s="29" t="s">
        <v>100</v>
      </c>
      <c r="C61" s="29" t="s">
        <v>5</v>
      </c>
      <c r="D61" s="29" t="s">
        <v>322</v>
      </c>
      <c r="E61" s="29" t="s">
        <v>761</v>
      </c>
      <c r="F61" s="29" t="s">
        <v>208</v>
      </c>
      <c r="G61" s="35" t="s">
        <v>844</v>
      </c>
      <c r="H61" s="23"/>
    </row>
    <row r="62" spans="1:8" ht="47.25" customHeight="1">
      <c r="A62" s="32">
        <v>136814</v>
      </c>
      <c r="B62" s="29" t="s">
        <v>107</v>
      </c>
      <c r="C62" s="29" t="s">
        <v>108</v>
      </c>
      <c r="D62" s="29" t="s">
        <v>341</v>
      </c>
      <c r="E62" s="29" t="s">
        <v>762</v>
      </c>
      <c r="F62" s="31" t="s">
        <v>208</v>
      </c>
      <c r="G62" s="35" t="s">
        <v>844</v>
      </c>
      <c r="H62" s="23"/>
    </row>
    <row r="63" spans="1:8" ht="47.25" customHeight="1">
      <c r="A63" s="28">
        <v>137456</v>
      </c>
      <c r="B63" s="29" t="s">
        <v>111</v>
      </c>
      <c r="C63" s="29" t="s">
        <v>112</v>
      </c>
      <c r="D63" s="29" t="s">
        <v>344</v>
      </c>
      <c r="E63" s="29" t="s">
        <v>763</v>
      </c>
      <c r="F63" s="31" t="s">
        <v>208</v>
      </c>
      <c r="G63" s="35" t="s">
        <v>844</v>
      </c>
      <c r="H63" s="23"/>
    </row>
    <row r="64" spans="1:8" ht="47.25" customHeight="1">
      <c r="A64" s="28">
        <v>138112</v>
      </c>
      <c r="B64" s="29" t="s">
        <v>116</v>
      </c>
      <c r="C64" s="29" t="s">
        <v>108</v>
      </c>
      <c r="D64" s="29" t="s">
        <v>348</v>
      </c>
      <c r="E64" s="29" t="s">
        <v>764</v>
      </c>
      <c r="F64" s="29" t="s">
        <v>206</v>
      </c>
      <c r="G64" s="35" t="s">
        <v>844</v>
      </c>
      <c r="H64" s="23"/>
    </row>
    <row r="65" spans="1:8" ht="47.25" customHeight="1">
      <c r="A65" s="28">
        <v>141514</v>
      </c>
      <c r="B65" s="29" t="s">
        <v>100</v>
      </c>
      <c r="C65" s="29" t="s">
        <v>5</v>
      </c>
      <c r="D65" s="29" t="s">
        <v>380</v>
      </c>
      <c r="E65" s="29" t="s">
        <v>760</v>
      </c>
      <c r="F65" s="29" t="s">
        <v>210</v>
      </c>
      <c r="G65" s="35" t="s">
        <v>844</v>
      </c>
      <c r="H65" s="23"/>
    </row>
    <row r="66" spans="1:8" ht="47.25" customHeight="1">
      <c r="A66" s="28">
        <v>101154</v>
      </c>
      <c r="B66" s="29" t="s">
        <v>2</v>
      </c>
      <c r="C66" s="29" t="s">
        <v>3</v>
      </c>
      <c r="D66" s="29" t="s">
        <v>205</v>
      </c>
      <c r="E66" s="29" t="s">
        <v>800</v>
      </c>
      <c r="F66" s="29" t="s">
        <v>206</v>
      </c>
      <c r="G66" s="35" t="s">
        <v>845</v>
      </c>
      <c r="H66" s="23"/>
    </row>
    <row r="67" spans="1:8" ht="47.25" customHeight="1">
      <c r="A67" s="28">
        <v>121966</v>
      </c>
      <c r="B67" s="29" t="s">
        <v>26</v>
      </c>
      <c r="C67" s="29" t="s">
        <v>801</v>
      </c>
      <c r="D67" s="29" t="s">
        <v>237</v>
      </c>
      <c r="E67" s="29" t="s">
        <v>802</v>
      </c>
      <c r="F67" s="29" t="s">
        <v>206</v>
      </c>
      <c r="G67" s="35" t="s">
        <v>845</v>
      </c>
      <c r="H67" s="23"/>
    </row>
    <row r="68" spans="1:8" ht="47.25" customHeight="1">
      <c r="A68" s="28">
        <v>123771</v>
      </c>
      <c r="B68" s="29" t="s">
        <v>27</v>
      </c>
      <c r="C68" s="29" t="s">
        <v>28</v>
      </c>
      <c r="D68" s="29" t="s">
        <v>241</v>
      </c>
      <c r="E68" s="29" t="s">
        <v>759</v>
      </c>
      <c r="F68" s="29" t="s">
        <v>208</v>
      </c>
      <c r="G68" s="35" t="s">
        <v>845</v>
      </c>
      <c r="H68" s="23"/>
    </row>
    <row r="69" spans="1:8" ht="47.25" customHeight="1">
      <c r="A69" s="28">
        <v>131150</v>
      </c>
      <c r="B69" s="29" t="s">
        <v>67</v>
      </c>
      <c r="C69" s="29" t="s">
        <v>68</v>
      </c>
      <c r="D69" s="29" t="s">
        <v>284</v>
      </c>
      <c r="E69" s="29" t="s">
        <v>285</v>
      </c>
      <c r="F69" s="31" t="s">
        <v>204</v>
      </c>
      <c r="G69" s="35" t="s">
        <v>845</v>
      </c>
      <c r="H69" s="24"/>
    </row>
    <row r="70" spans="1:8" ht="47.25" customHeight="1">
      <c r="A70" s="28">
        <v>131360</v>
      </c>
      <c r="B70" s="29" t="s">
        <v>71</v>
      </c>
      <c r="C70" s="29" t="s">
        <v>72</v>
      </c>
      <c r="D70" s="29" t="s">
        <v>289</v>
      </c>
      <c r="E70" s="29" t="s">
        <v>822</v>
      </c>
      <c r="F70" s="29" t="s">
        <v>208</v>
      </c>
      <c r="G70" s="35" t="s">
        <v>845</v>
      </c>
      <c r="H70" s="24"/>
    </row>
    <row r="71" spans="1:8" ht="47.25" customHeight="1">
      <c r="A71" s="32">
        <v>132165</v>
      </c>
      <c r="B71" s="29" t="s">
        <v>73</v>
      </c>
      <c r="C71" s="29" t="s">
        <v>42</v>
      </c>
      <c r="D71" s="29" t="s">
        <v>293</v>
      </c>
      <c r="E71" s="29" t="s">
        <v>803</v>
      </c>
      <c r="F71" s="29" t="s">
        <v>206</v>
      </c>
      <c r="G71" s="35" t="s">
        <v>845</v>
      </c>
      <c r="H71" s="23"/>
    </row>
    <row r="72" spans="1:8" ht="47.25" customHeight="1">
      <c r="A72" s="28">
        <v>142357</v>
      </c>
      <c r="B72" s="29" t="s">
        <v>160</v>
      </c>
      <c r="C72" s="29" t="s">
        <v>63</v>
      </c>
      <c r="D72" s="29" t="s">
        <v>388</v>
      </c>
      <c r="E72" s="29" t="s">
        <v>804</v>
      </c>
      <c r="F72" s="29" t="s">
        <v>206</v>
      </c>
      <c r="G72" s="35" t="s">
        <v>845</v>
      </c>
      <c r="H72" s="23"/>
    </row>
    <row r="73" spans="1:8" ht="47.25" customHeight="1">
      <c r="A73" s="28">
        <v>143425</v>
      </c>
      <c r="B73" s="29" t="s">
        <v>161</v>
      </c>
      <c r="C73" s="29" t="s">
        <v>25</v>
      </c>
      <c r="D73" s="29" t="s">
        <v>389</v>
      </c>
      <c r="E73" s="29" t="s">
        <v>805</v>
      </c>
      <c r="F73" s="29" t="s">
        <v>206</v>
      </c>
      <c r="G73" s="35" t="s">
        <v>845</v>
      </c>
      <c r="H73" s="23"/>
    </row>
    <row r="74" spans="1:8" ht="47.25" customHeight="1">
      <c r="A74" s="28">
        <v>155057</v>
      </c>
      <c r="B74" s="29" t="s">
        <v>197</v>
      </c>
      <c r="C74" s="29" t="s">
        <v>198</v>
      </c>
      <c r="D74" s="29" t="s">
        <v>443</v>
      </c>
      <c r="E74" s="29" t="s">
        <v>806</v>
      </c>
      <c r="F74" s="29" t="s">
        <v>206</v>
      </c>
      <c r="G74" s="35" t="s">
        <v>845</v>
      </c>
      <c r="H74" s="23"/>
    </row>
    <row r="75" spans="1:8" ht="47.25" customHeight="1">
      <c r="A75" s="28">
        <v>127173</v>
      </c>
      <c r="B75" s="29" t="s">
        <v>34</v>
      </c>
      <c r="C75" s="29" t="s">
        <v>765</v>
      </c>
      <c r="D75" s="29" t="s">
        <v>248</v>
      </c>
      <c r="E75" s="29" t="s">
        <v>784</v>
      </c>
      <c r="F75" s="29" t="s">
        <v>206</v>
      </c>
      <c r="G75" s="35" t="s">
        <v>846</v>
      </c>
      <c r="H75" s="23"/>
    </row>
    <row r="76" spans="1:8" ht="47.25" customHeight="1">
      <c r="A76" s="28">
        <v>129362</v>
      </c>
      <c r="B76" s="29" t="s">
        <v>49</v>
      </c>
      <c r="C76" s="29" t="s">
        <v>785</v>
      </c>
      <c r="D76" s="29" t="s">
        <v>263</v>
      </c>
      <c r="E76" s="29" t="s">
        <v>786</v>
      </c>
      <c r="F76" s="29" t="s">
        <v>206</v>
      </c>
      <c r="G76" s="35" t="s">
        <v>846</v>
      </c>
      <c r="H76" s="23"/>
    </row>
    <row r="77" spans="1:8" ht="47.25" customHeight="1">
      <c r="A77" s="28">
        <v>134844</v>
      </c>
      <c r="B77" s="29" t="s">
        <v>103</v>
      </c>
      <c r="C77" s="29" t="s">
        <v>104</v>
      </c>
      <c r="D77" s="29" t="s">
        <v>325</v>
      </c>
      <c r="E77" s="29" t="s">
        <v>787</v>
      </c>
      <c r="F77" s="29" t="s">
        <v>206</v>
      </c>
      <c r="G77" s="35" t="s">
        <v>846</v>
      </c>
      <c r="H77" s="23"/>
    </row>
    <row r="78" spans="1:8" ht="47.25" customHeight="1">
      <c r="A78" s="28">
        <v>138157</v>
      </c>
      <c r="B78" s="29" t="s">
        <v>117</v>
      </c>
      <c r="C78" s="29" t="s">
        <v>118</v>
      </c>
      <c r="D78" s="29" t="s">
        <v>788</v>
      </c>
      <c r="E78" s="29" t="s">
        <v>349</v>
      </c>
      <c r="F78" s="29" t="s">
        <v>206</v>
      </c>
      <c r="G78" s="35" t="s">
        <v>846</v>
      </c>
      <c r="H78" s="23"/>
    </row>
    <row r="79" spans="1:8" ht="47.25" customHeight="1">
      <c r="A79" s="28">
        <v>138489</v>
      </c>
      <c r="B79" s="29" t="s">
        <v>123</v>
      </c>
      <c r="C79" s="29" t="s">
        <v>124</v>
      </c>
      <c r="D79" s="29" t="s">
        <v>354</v>
      </c>
      <c r="E79" s="29" t="s">
        <v>789</v>
      </c>
      <c r="F79" s="29" t="s">
        <v>206</v>
      </c>
      <c r="G79" s="35" t="s">
        <v>846</v>
      </c>
      <c r="H79" s="24"/>
    </row>
    <row r="80" spans="1:8" ht="47.25" customHeight="1">
      <c r="A80" s="28">
        <v>141046</v>
      </c>
      <c r="B80" s="29" t="s">
        <v>142</v>
      </c>
      <c r="C80" s="29" t="s">
        <v>143</v>
      </c>
      <c r="D80" s="29" t="s">
        <v>372</v>
      </c>
      <c r="E80" s="29" t="s">
        <v>790</v>
      </c>
      <c r="F80" s="29" t="s">
        <v>206</v>
      </c>
      <c r="G80" s="35" t="s">
        <v>846</v>
      </c>
      <c r="H80" s="23"/>
    </row>
    <row r="81" spans="1:8" ht="47.25" customHeight="1">
      <c r="A81" s="32">
        <v>143756</v>
      </c>
      <c r="B81" s="29" t="s">
        <v>162</v>
      </c>
      <c r="C81" s="29" t="s">
        <v>77</v>
      </c>
      <c r="D81" s="29" t="s">
        <v>390</v>
      </c>
      <c r="E81" s="29" t="s">
        <v>714</v>
      </c>
      <c r="F81" s="29" t="s">
        <v>210</v>
      </c>
      <c r="G81" s="35" t="s">
        <v>846</v>
      </c>
      <c r="H81" s="23"/>
    </row>
    <row r="82" spans="1:8" ht="47.25" customHeight="1">
      <c r="A82" s="28">
        <v>150711</v>
      </c>
      <c r="B82" s="29" t="s">
        <v>185</v>
      </c>
      <c r="C82" s="29" t="s">
        <v>118</v>
      </c>
      <c r="D82" s="29" t="s">
        <v>425</v>
      </c>
      <c r="E82" s="29" t="s">
        <v>426</v>
      </c>
      <c r="F82" s="29" t="s">
        <v>206</v>
      </c>
      <c r="G82" s="35" t="s">
        <v>846</v>
      </c>
      <c r="H82" s="23"/>
    </row>
    <row r="83" spans="1:8" ht="47.25" customHeight="1">
      <c r="A83" s="28">
        <v>152162</v>
      </c>
      <c r="B83" s="29" t="s">
        <v>190</v>
      </c>
      <c r="C83" s="29" t="s">
        <v>191</v>
      </c>
      <c r="D83" s="29" t="s">
        <v>791</v>
      </c>
      <c r="E83" s="29" t="s">
        <v>431</v>
      </c>
      <c r="F83" s="29" t="s">
        <v>206</v>
      </c>
      <c r="G83" s="35" t="s">
        <v>846</v>
      </c>
      <c r="H83" s="23"/>
    </row>
    <row r="84" spans="1:8" ht="47.25" customHeight="1">
      <c r="A84" s="28">
        <v>121619</v>
      </c>
      <c r="B84" s="29" t="s">
        <v>22</v>
      </c>
      <c r="C84" s="29" t="s">
        <v>23</v>
      </c>
      <c r="D84" s="29" t="s">
        <v>235</v>
      </c>
      <c r="E84" s="29" t="s">
        <v>792</v>
      </c>
      <c r="F84" s="29" t="s">
        <v>206</v>
      </c>
      <c r="G84" s="35" t="s">
        <v>847</v>
      </c>
      <c r="H84" s="23"/>
    </row>
    <row r="85" spans="1:8" ht="47.25" customHeight="1">
      <c r="A85" s="28">
        <v>129673</v>
      </c>
      <c r="B85" s="29" t="s">
        <v>50</v>
      </c>
      <c r="C85" s="29" t="s">
        <v>30</v>
      </c>
      <c r="D85" s="29" t="s">
        <v>266</v>
      </c>
      <c r="E85" s="29" t="s">
        <v>793</v>
      </c>
      <c r="F85" s="29" t="s">
        <v>206</v>
      </c>
      <c r="G85" s="35" t="s">
        <v>847</v>
      </c>
      <c r="H85" s="23"/>
    </row>
    <row r="86" spans="1:8" ht="47.25" customHeight="1">
      <c r="A86" s="28">
        <v>129820</v>
      </c>
      <c r="B86" s="29" t="s">
        <v>52</v>
      </c>
      <c r="C86" s="29" t="s">
        <v>30</v>
      </c>
      <c r="D86" s="29" t="s">
        <v>268</v>
      </c>
      <c r="E86" s="29" t="s">
        <v>794</v>
      </c>
      <c r="F86" s="29" t="s">
        <v>206</v>
      </c>
      <c r="G86" s="35" t="s">
        <v>847</v>
      </c>
      <c r="H86" s="23"/>
    </row>
    <row r="87" spans="1:8" ht="47.25" customHeight="1">
      <c r="A87" s="28">
        <v>134820</v>
      </c>
      <c r="B87" s="29" t="s">
        <v>101</v>
      </c>
      <c r="C87" s="29" t="s">
        <v>102</v>
      </c>
      <c r="D87" s="29" t="s">
        <v>323</v>
      </c>
      <c r="E87" s="29" t="s">
        <v>324</v>
      </c>
      <c r="F87" s="29" t="s">
        <v>206</v>
      </c>
      <c r="G87" s="35" t="s">
        <v>847</v>
      </c>
      <c r="H87" s="23"/>
    </row>
    <row r="88" spans="1:8" ht="47.25" customHeight="1">
      <c r="A88" s="28">
        <v>141111</v>
      </c>
      <c r="B88" s="29" t="s">
        <v>144</v>
      </c>
      <c r="C88" s="29" t="s">
        <v>145</v>
      </c>
      <c r="D88" s="29" t="s">
        <v>373</v>
      </c>
      <c r="E88" s="29" t="s">
        <v>795</v>
      </c>
      <c r="F88" s="29" t="s">
        <v>206</v>
      </c>
      <c r="G88" s="35" t="s">
        <v>847</v>
      </c>
      <c r="H88" s="23"/>
    </row>
    <row r="89" spans="1:8" ht="47.25" customHeight="1">
      <c r="A89" s="28">
        <v>141669</v>
      </c>
      <c r="B89" s="29" t="s">
        <v>155</v>
      </c>
      <c r="C89" s="29" t="s">
        <v>796</v>
      </c>
      <c r="D89" s="29" t="s">
        <v>797</v>
      </c>
      <c r="E89" s="29" t="s">
        <v>382</v>
      </c>
      <c r="F89" s="29" t="s">
        <v>206</v>
      </c>
      <c r="G89" s="35" t="s">
        <v>847</v>
      </c>
      <c r="H89" s="23"/>
    </row>
    <row r="90" spans="1:8" ht="47.25" customHeight="1">
      <c r="A90" s="28">
        <v>154820</v>
      </c>
      <c r="B90" s="29" t="s">
        <v>196</v>
      </c>
      <c r="C90" s="29" t="s">
        <v>798</v>
      </c>
      <c r="D90" s="29" t="s">
        <v>442</v>
      </c>
      <c r="E90" s="29" t="s">
        <v>799</v>
      </c>
      <c r="F90" s="29" t="s">
        <v>206</v>
      </c>
      <c r="G90" s="35" t="s">
        <v>847</v>
      </c>
      <c r="H90" s="23"/>
    </row>
    <row r="91" spans="1:8" ht="47.25" customHeight="1">
      <c r="A91" s="28">
        <v>125652</v>
      </c>
      <c r="B91" s="29" t="s">
        <v>34</v>
      </c>
      <c r="C91" s="29" t="s">
        <v>765</v>
      </c>
      <c r="D91" s="29" t="s">
        <v>246</v>
      </c>
      <c r="E91" s="29" t="s">
        <v>766</v>
      </c>
      <c r="F91" s="29" t="s">
        <v>204</v>
      </c>
      <c r="G91" s="36" t="s">
        <v>848</v>
      </c>
      <c r="H91" s="23"/>
    </row>
    <row r="92" spans="1:8" ht="47.25" customHeight="1">
      <c r="A92" s="28">
        <v>128319</v>
      </c>
      <c r="B92" s="29" t="s">
        <v>41</v>
      </c>
      <c r="C92" s="29" t="s">
        <v>42</v>
      </c>
      <c r="D92" s="29" t="s">
        <v>257</v>
      </c>
      <c r="E92" s="29" t="s">
        <v>767</v>
      </c>
      <c r="F92" s="29" t="s">
        <v>204</v>
      </c>
      <c r="G92" s="36" t="s">
        <v>848</v>
      </c>
      <c r="H92" s="23"/>
    </row>
    <row r="93" spans="1:8" ht="47.25" customHeight="1">
      <c r="A93" s="32">
        <v>128954</v>
      </c>
      <c r="B93" s="29" t="s">
        <v>45</v>
      </c>
      <c r="C93" s="29" t="s">
        <v>46</v>
      </c>
      <c r="D93" s="29" t="s">
        <v>261</v>
      </c>
      <c r="E93" s="29" t="s">
        <v>821</v>
      </c>
      <c r="F93" s="29" t="s">
        <v>208</v>
      </c>
      <c r="G93" s="36" t="s">
        <v>848</v>
      </c>
      <c r="H93" s="23"/>
    </row>
    <row r="94" spans="1:8" ht="47.25" customHeight="1">
      <c r="A94" s="28">
        <v>130776</v>
      </c>
      <c r="B94" s="29" t="s">
        <v>64</v>
      </c>
      <c r="C94" s="29" t="s">
        <v>65</v>
      </c>
      <c r="D94" s="29" t="s">
        <v>278</v>
      </c>
      <c r="E94" s="29" t="s">
        <v>768</v>
      </c>
      <c r="F94" s="29" t="s">
        <v>204</v>
      </c>
      <c r="G94" s="36" t="s">
        <v>700</v>
      </c>
      <c r="H94" s="24"/>
    </row>
    <row r="95" spans="1:8" ht="47.25" customHeight="1">
      <c r="A95" s="28">
        <v>140464</v>
      </c>
      <c r="B95" s="29" t="s">
        <v>133</v>
      </c>
      <c r="C95" s="29" t="s">
        <v>42</v>
      </c>
      <c r="D95" s="29" t="s">
        <v>366</v>
      </c>
      <c r="E95" s="29" t="s">
        <v>769</v>
      </c>
      <c r="F95" s="29" t="s">
        <v>204</v>
      </c>
      <c r="G95" s="36" t="s">
        <v>700</v>
      </c>
      <c r="H95" s="23"/>
    </row>
    <row r="96" spans="1:8" ht="47.25" customHeight="1">
      <c r="A96" s="28">
        <v>149406</v>
      </c>
      <c r="B96" s="29" t="s">
        <v>178</v>
      </c>
      <c r="C96" s="29" t="s">
        <v>42</v>
      </c>
      <c r="D96" s="29" t="s">
        <v>412</v>
      </c>
      <c r="E96" s="29" t="s">
        <v>770</v>
      </c>
      <c r="F96" s="29" t="s">
        <v>204</v>
      </c>
      <c r="G96" s="36" t="s">
        <v>700</v>
      </c>
      <c r="H96" s="23"/>
    </row>
    <row r="97" spans="1:8" ht="47.25" customHeight="1">
      <c r="A97" s="28">
        <v>137061</v>
      </c>
      <c r="B97" s="29" t="s">
        <v>109</v>
      </c>
      <c r="C97" s="29" t="s">
        <v>110</v>
      </c>
      <c r="D97" s="29" t="s">
        <v>342</v>
      </c>
      <c r="E97" s="29" t="s">
        <v>771</v>
      </c>
      <c r="F97" s="29" t="s">
        <v>204</v>
      </c>
      <c r="G97" s="36" t="s">
        <v>701</v>
      </c>
      <c r="H97" s="23"/>
    </row>
    <row r="98" spans="1:8" ht="47.25" customHeight="1">
      <c r="A98" s="28">
        <v>142024</v>
      </c>
      <c r="B98" s="29" t="s">
        <v>156</v>
      </c>
      <c r="C98" s="29" t="s">
        <v>157</v>
      </c>
      <c r="D98" s="29" t="s">
        <v>385</v>
      </c>
      <c r="E98" s="29" t="s">
        <v>386</v>
      </c>
      <c r="F98" s="29" t="s">
        <v>204</v>
      </c>
      <c r="G98" s="36" t="s">
        <v>701</v>
      </c>
      <c r="H98" s="23"/>
    </row>
    <row r="99" spans="1:8" ht="47.25" customHeight="1">
      <c r="A99" s="28">
        <v>144075</v>
      </c>
      <c r="B99" s="29" t="s">
        <v>163</v>
      </c>
      <c r="C99" s="29" t="s">
        <v>164</v>
      </c>
      <c r="D99" s="29" t="s">
        <v>391</v>
      </c>
      <c r="E99" s="29" t="s">
        <v>772</v>
      </c>
      <c r="F99" s="29" t="s">
        <v>204</v>
      </c>
      <c r="G99" s="36" t="s">
        <v>701</v>
      </c>
      <c r="H99" s="23"/>
    </row>
    <row r="100" spans="1:8" ht="47.25" customHeight="1">
      <c r="A100" s="32">
        <v>150540</v>
      </c>
      <c r="B100" s="29" t="s">
        <v>183</v>
      </c>
      <c r="C100" s="29" t="s">
        <v>184</v>
      </c>
      <c r="D100" s="29" t="s">
        <v>421</v>
      </c>
      <c r="E100" s="29" t="s">
        <v>422</v>
      </c>
      <c r="F100" s="29" t="s">
        <v>204</v>
      </c>
      <c r="G100" s="36" t="s">
        <v>701</v>
      </c>
      <c r="H100" s="23"/>
    </row>
    <row r="101" spans="1:8" ht="47.25" customHeight="1">
      <c r="A101" s="28">
        <v>152473</v>
      </c>
      <c r="B101" s="29" t="s">
        <v>192</v>
      </c>
      <c r="C101" s="29" t="s">
        <v>773</v>
      </c>
      <c r="D101" s="29" t="s">
        <v>432</v>
      </c>
      <c r="E101" s="29" t="s">
        <v>774</v>
      </c>
      <c r="F101" s="29" t="s">
        <v>204</v>
      </c>
      <c r="G101" s="36" t="s">
        <v>701</v>
      </c>
      <c r="H101" s="23"/>
    </row>
    <row r="102" spans="1:8" ht="47.25" customHeight="1">
      <c r="A102" s="28">
        <v>112260</v>
      </c>
      <c r="B102" s="29" t="s">
        <v>9</v>
      </c>
      <c r="C102" s="29" t="s">
        <v>10</v>
      </c>
      <c r="D102" s="29" t="s">
        <v>775</v>
      </c>
      <c r="E102" s="29" t="s">
        <v>219</v>
      </c>
      <c r="F102" s="29" t="s">
        <v>204</v>
      </c>
      <c r="G102" s="36" t="s">
        <v>702</v>
      </c>
      <c r="H102" s="24"/>
    </row>
    <row r="103" spans="1:8" ht="47.25" customHeight="1">
      <c r="A103" s="28">
        <v>132692</v>
      </c>
      <c r="B103" s="29" t="s">
        <v>87</v>
      </c>
      <c r="C103" s="29" t="s">
        <v>88</v>
      </c>
      <c r="D103" s="29" t="s">
        <v>776</v>
      </c>
      <c r="E103" s="29" t="s">
        <v>777</v>
      </c>
      <c r="F103" s="29" t="s">
        <v>204</v>
      </c>
      <c r="G103" s="35" t="s">
        <v>702</v>
      </c>
      <c r="H103" s="24"/>
    </row>
    <row r="104" spans="1:8" ht="47.25" customHeight="1">
      <c r="A104" s="28">
        <v>138715</v>
      </c>
      <c r="B104" s="29" t="s">
        <v>125</v>
      </c>
      <c r="C104" s="29" t="s">
        <v>126</v>
      </c>
      <c r="D104" s="29" t="s">
        <v>355</v>
      </c>
      <c r="E104" s="29" t="s">
        <v>778</v>
      </c>
      <c r="F104" s="29" t="s">
        <v>204</v>
      </c>
      <c r="G104" s="36" t="s">
        <v>702</v>
      </c>
      <c r="H104" s="23"/>
    </row>
    <row r="105" spans="1:8" ht="47.25" customHeight="1">
      <c r="A105" s="28">
        <v>139222</v>
      </c>
      <c r="B105" s="29" t="s">
        <v>125</v>
      </c>
      <c r="C105" s="29" t="s">
        <v>779</v>
      </c>
      <c r="D105" s="29" t="s">
        <v>359</v>
      </c>
      <c r="E105" s="29" t="s">
        <v>780</v>
      </c>
      <c r="F105" s="29" t="s">
        <v>204</v>
      </c>
      <c r="G105" s="36" t="s">
        <v>702</v>
      </c>
      <c r="H105" s="23"/>
    </row>
    <row r="106" spans="1:8" ht="47.25" customHeight="1">
      <c r="A106" s="28">
        <v>140266</v>
      </c>
      <c r="B106" s="29" t="s">
        <v>132</v>
      </c>
      <c r="C106" s="29" t="s">
        <v>63</v>
      </c>
      <c r="D106" s="29" t="s">
        <v>364</v>
      </c>
      <c r="E106" s="29" t="s">
        <v>781</v>
      </c>
      <c r="F106" s="29" t="s">
        <v>204</v>
      </c>
      <c r="G106" s="36" t="s">
        <v>702</v>
      </c>
      <c r="H106" s="24"/>
    </row>
    <row r="107" spans="1:8" ht="47.25" customHeight="1">
      <c r="A107" s="28">
        <v>140903</v>
      </c>
      <c r="B107" s="29" t="s">
        <v>141</v>
      </c>
      <c r="C107" s="29" t="s">
        <v>42</v>
      </c>
      <c r="D107" s="29" t="s">
        <v>370</v>
      </c>
      <c r="E107" s="29" t="s">
        <v>782</v>
      </c>
      <c r="F107" s="29" t="s">
        <v>204</v>
      </c>
      <c r="G107" s="36" t="s">
        <v>702</v>
      </c>
      <c r="H107" s="23"/>
    </row>
    <row r="108" spans="1:8" ht="47.25" customHeight="1">
      <c r="A108" s="28">
        <v>147777</v>
      </c>
      <c r="B108" s="29" t="s">
        <v>175</v>
      </c>
      <c r="C108" s="29" t="s">
        <v>176</v>
      </c>
      <c r="D108" s="29" t="s">
        <v>783</v>
      </c>
      <c r="E108" s="29" t="s">
        <v>408</v>
      </c>
      <c r="F108" s="29" t="s">
        <v>204</v>
      </c>
      <c r="G108" s="36" t="s">
        <v>702</v>
      </c>
      <c r="H108" s="23"/>
    </row>
    <row r="109" spans="1:8" ht="34.5" customHeight="1">
      <c r="A109" s="28">
        <v>103615</v>
      </c>
      <c r="B109" s="29" t="s">
        <v>4</v>
      </c>
      <c r="C109" s="29" t="s">
        <v>5</v>
      </c>
      <c r="D109" s="29" t="s">
        <v>207</v>
      </c>
      <c r="E109" s="29" t="s">
        <v>758</v>
      </c>
      <c r="F109" s="29" t="s">
        <v>208</v>
      </c>
      <c r="G109" s="35" t="s">
        <v>854</v>
      </c>
      <c r="H109" s="24"/>
    </row>
    <row r="110" spans="1:8" ht="34.5" customHeight="1">
      <c r="A110" s="28">
        <v>121621</v>
      </c>
      <c r="B110" s="29" t="s">
        <v>24</v>
      </c>
      <c r="C110" s="29" t="s">
        <v>25</v>
      </c>
      <c r="D110" s="29" t="s">
        <v>236</v>
      </c>
      <c r="E110" s="29" t="s">
        <v>813</v>
      </c>
      <c r="F110" s="29" t="s">
        <v>210</v>
      </c>
      <c r="G110" s="35" t="s">
        <v>854</v>
      </c>
      <c r="H110" s="24"/>
    </row>
    <row r="111" spans="1:8" ht="34.5" customHeight="1">
      <c r="A111" s="28">
        <v>128059</v>
      </c>
      <c r="B111" s="29" t="s">
        <v>35</v>
      </c>
      <c r="C111" s="29" t="s">
        <v>15</v>
      </c>
      <c r="D111" s="29" t="s">
        <v>250</v>
      </c>
      <c r="E111" s="29" t="s">
        <v>811</v>
      </c>
      <c r="F111" s="29" t="s">
        <v>208</v>
      </c>
      <c r="G111" s="35" t="s">
        <v>854</v>
      </c>
      <c r="H111" s="24"/>
    </row>
    <row r="112" spans="1:8" ht="34.5" customHeight="1">
      <c r="A112" s="28">
        <v>130087</v>
      </c>
      <c r="B112" s="29" t="s">
        <v>53</v>
      </c>
      <c r="C112" s="29" t="s">
        <v>54</v>
      </c>
      <c r="D112" s="29" t="s">
        <v>271</v>
      </c>
      <c r="E112" s="29" t="s">
        <v>815</v>
      </c>
      <c r="F112" s="29" t="s">
        <v>210</v>
      </c>
      <c r="G112" s="35" t="s">
        <v>854</v>
      </c>
      <c r="H112" s="23"/>
    </row>
    <row r="113" spans="1:8" ht="34.5" customHeight="1">
      <c r="A113" s="28">
        <v>130301</v>
      </c>
      <c r="B113" s="29" t="s">
        <v>55</v>
      </c>
      <c r="C113" s="29" t="s">
        <v>38</v>
      </c>
      <c r="D113" s="29" t="s">
        <v>272</v>
      </c>
      <c r="E113" s="29" t="s">
        <v>816</v>
      </c>
      <c r="F113" s="29" t="s">
        <v>210</v>
      </c>
      <c r="G113" s="35" t="s">
        <v>854</v>
      </c>
      <c r="H113" s="23"/>
    </row>
    <row r="114" spans="1:8" ht="34.5" customHeight="1">
      <c r="A114" s="28">
        <v>132561</v>
      </c>
      <c r="B114" s="29" t="s">
        <v>83</v>
      </c>
      <c r="C114" s="29" t="s">
        <v>84</v>
      </c>
      <c r="D114" s="29" t="s">
        <v>300</v>
      </c>
      <c r="E114" s="29" t="s">
        <v>823</v>
      </c>
      <c r="F114" s="29" t="s">
        <v>208</v>
      </c>
      <c r="G114" s="35" t="s">
        <v>854</v>
      </c>
      <c r="H114" s="23"/>
    </row>
    <row r="115" spans="1:8" ht="34.5" customHeight="1">
      <c r="A115" s="28">
        <v>132569</v>
      </c>
      <c r="B115" s="29" t="s">
        <v>83</v>
      </c>
      <c r="C115" s="29" t="s">
        <v>84</v>
      </c>
      <c r="D115" s="29" t="s">
        <v>301</v>
      </c>
      <c r="E115" s="29" t="s">
        <v>824</v>
      </c>
      <c r="F115" s="29" t="s">
        <v>208</v>
      </c>
      <c r="G115" s="35" t="s">
        <v>854</v>
      </c>
      <c r="H115" s="23"/>
    </row>
    <row r="116" spans="1:8" ht="34.5" customHeight="1">
      <c r="A116" s="28">
        <v>139374</v>
      </c>
      <c r="B116" s="29" t="s">
        <v>129</v>
      </c>
      <c r="C116" s="29" t="s">
        <v>130</v>
      </c>
      <c r="D116" s="29" t="s">
        <v>361</v>
      </c>
      <c r="E116" s="29" t="s">
        <v>807</v>
      </c>
      <c r="F116" s="29" t="s">
        <v>210</v>
      </c>
      <c r="G116" s="35" t="s">
        <v>854</v>
      </c>
      <c r="H116" s="23"/>
    </row>
    <row r="117" spans="1:8" ht="34.5" customHeight="1">
      <c r="A117" s="28">
        <v>141196</v>
      </c>
      <c r="B117" s="29" t="s">
        <v>148</v>
      </c>
      <c r="C117" s="29" t="s">
        <v>149</v>
      </c>
      <c r="D117" s="29" t="s">
        <v>825</v>
      </c>
      <c r="E117" s="29" t="s">
        <v>826</v>
      </c>
      <c r="F117" s="31" t="s">
        <v>208</v>
      </c>
      <c r="G117" s="35" t="s">
        <v>854</v>
      </c>
      <c r="H117" s="23"/>
    </row>
    <row r="118" spans="1:8" ht="34.5" customHeight="1">
      <c r="A118" s="28">
        <v>141431</v>
      </c>
      <c r="B118" s="29" t="s">
        <v>154</v>
      </c>
      <c r="C118" s="29" t="s">
        <v>827</v>
      </c>
      <c r="D118" s="29" t="s">
        <v>379</v>
      </c>
      <c r="E118" s="29" t="s">
        <v>828</v>
      </c>
      <c r="F118" s="29" t="s">
        <v>208</v>
      </c>
      <c r="G118" s="35" t="s">
        <v>854</v>
      </c>
      <c r="H118" s="23"/>
    </row>
    <row r="119" spans="1:8" ht="34.5" customHeight="1">
      <c r="A119" s="28">
        <v>144461</v>
      </c>
      <c r="B119" s="29" t="s">
        <v>165</v>
      </c>
      <c r="C119" s="29" t="s">
        <v>166</v>
      </c>
      <c r="D119" s="29" t="s">
        <v>393</v>
      </c>
      <c r="E119" s="29" t="s">
        <v>820</v>
      </c>
      <c r="F119" s="29" t="s">
        <v>204</v>
      </c>
      <c r="G119" s="35" t="s">
        <v>854</v>
      </c>
      <c r="H119" s="24"/>
    </row>
    <row r="120" spans="1:8" ht="34.5" customHeight="1">
      <c r="A120" s="28">
        <v>144830</v>
      </c>
      <c r="B120" s="29" t="s">
        <v>167</v>
      </c>
      <c r="C120" s="29" t="s">
        <v>38</v>
      </c>
      <c r="D120" s="29" t="s">
        <v>395</v>
      </c>
      <c r="E120" s="29" t="s">
        <v>817</v>
      </c>
      <c r="F120" s="29" t="s">
        <v>210</v>
      </c>
      <c r="G120" s="35" t="s">
        <v>854</v>
      </c>
      <c r="H120" s="23"/>
    </row>
    <row r="121" spans="1:8" ht="34.5" customHeight="1">
      <c r="A121" s="28">
        <v>147162</v>
      </c>
      <c r="B121" s="29" t="s">
        <v>172</v>
      </c>
      <c r="C121" s="29" t="s">
        <v>173</v>
      </c>
      <c r="D121" s="29" t="s">
        <v>403</v>
      </c>
      <c r="E121" s="29" t="s">
        <v>808</v>
      </c>
      <c r="F121" s="29" t="s">
        <v>210</v>
      </c>
      <c r="G121" s="35" t="s">
        <v>854</v>
      </c>
      <c r="H121" s="24"/>
    </row>
    <row r="122" spans="1:8" ht="34.5" customHeight="1">
      <c r="A122" s="28">
        <v>147840</v>
      </c>
      <c r="B122" s="29" t="s">
        <v>177</v>
      </c>
      <c r="C122" s="29" t="s">
        <v>40</v>
      </c>
      <c r="D122" s="29" t="s">
        <v>409</v>
      </c>
      <c r="E122" s="29" t="s">
        <v>829</v>
      </c>
      <c r="F122" s="29" t="s">
        <v>208</v>
      </c>
      <c r="G122" s="35" t="s">
        <v>854</v>
      </c>
      <c r="H122" s="23"/>
    </row>
    <row r="123" spans="1:8" ht="34.5" customHeight="1">
      <c r="A123" s="28">
        <v>150994</v>
      </c>
      <c r="B123" s="29" t="s">
        <v>188</v>
      </c>
      <c r="C123" s="29" t="s">
        <v>189</v>
      </c>
      <c r="D123" s="29" t="s">
        <v>809</v>
      </c>
      <c r="E123" s="29" t="s">
        <v>810</v>
      </c>
      <c r="F123" s="29" t="s">
        <v>210</v>
      </c>
      <c r="G123" s="35" t="s">
        <v>854</v>
      </c>
      <c r="H123" s="24"/>
    </row>
    <row r="124" spans="1:8" ht="34.5" customHeight="1">
      <c r="A124" s="28">
        <v>153607</v>
      </c>
      <c r="B124" s="29" t="s">
        <v>195</v>
      </c>
      <c r="C124" s="29" t="s">
        <v>63</v>
      </c>
      <c r="D124" s="29" t="s">
        <v>437</v>
      </c>
      <c r="E124" s="29" t="s">
        <v>818</v>
      </c>
      <c r="F124" s="29" t="s">
        <v>210</v>
      </c>
      <c r="G124" s="35" t="s">
        <v>854</v>
      </c>
      <c r="H124" s="24"/>
    </row>
    <row r="125" spans="1:8">
      <c r="A125" s="38"/>
      <c r="B125" s="38"/>
      <c r="C125" s="38"/>
      <c r="D125" s="38"/>
      <c r="E125" s="38"/>
      <c r="F125" s="38"/>
      <c r="G125" s="38"/>
    </row>
  </sheetData>
  <sortState xmlns:xlrd2="http://schemas.microsoft.com/office/spreadsheetml/2017/richdata2" ref="A3:G124">
    <sortCondition ref="G3:G124"/>
    <sortCondition ref="A3:A124"/>
  </sortState>
  <mergeCells count="9">
    <mergeCell ref="I15:I16"/>
    <mergeCell ref="I17:I19"/>
    <mergeCell ref="I20:J20"/>
    <mergeCell ref="B1:C1"/>
    <mergeCell ref="I3:I6"/>
    <mergeCell ref="I7:I8"/>
    <mergeCell ref="I9:J9"/>
    <mergeCell ref="I10:J10"/>
    <mergeCell ref="I11:I14"/>
  </mergeCells>
  <phoneticPr fontId="1" type="noConversion"/>
  <pageMargins left="0.25" right="0.25"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CCC44-41FE-4FFA-94D9-77E413FD969D}">
  <dimension ref="A1:B19"/>
  <sheetViews>
    <sheetView topLeftCell="A16" workbookViewId="0">
      <selection activeCell="B17" sqref="B17"/>
    </sheetView>
  </sheetViews>
  <sheetFormatPr defaultRowHeight="15"/>
  <cols>
    <col min="1" max="1" width="28.875" style="41" customWidth="1"/>
    <col min="2" max="2" width="67.125" style="41" customWidth="1"/>
  </cols>
  <sheetData>
    <row r="1" spans="1:2">
      <c r="A1" s="41" t="s">
        <v>867</v>
      </c>
      <c r="B1" s="41" t="s">
        <v>868</v>
      </c>
    </row>
    <row r="2" spans="1:2" ht="94.5">
      <c r="A2" s="42" t="s">
        <v>832</v>
      </c>
      <c r="B2" s="41" t="s">
        <v>869</v>
      </c>
    </row>
    <row r="3" spans="1:2" ht="108">
      <c r="A3" s="42" t="s">
        <v>882</v>
      </c>
      <c r="B3" s="41" t="s">
        <v>870</v>
      </c>
    </row>
    <row r="4" spans="1:2" ht="81">
      <c r="A4" s="42" t="s">
        <v>835</v>
      </c>
      <c r="B4" s="41" t="s">
        <v>871</v>
      </c>
    </row>
    <row r="5" spans="1:2" ht="94.5">
      <c r="A5" s="42" t="s">
        <v>836</v>
      </c>
      <c r="B5" s="41" t="s">
        <v>873</v>
      </c>
    </row>
    <row r="6" spans="1:2" ht="81">
      <c r="A6" s="42" t="s">
        <v>837</v>
      </c>
      <c r="B6" s="41" t="s">
        <v>872</v>
      </c>
    </row>
    <row r="7" spans="1:2" ht="94.5">
      <c r="A7" s="42" t="s">
        <v>838</v>
      </c>
      <c r="B7" s="41" t="s">
        <v>874</v>
      </c>
    </row>
    <row r="8" spans="1:2" ht="108">
      <c r="A8" s="42" t="s">
        <v>839</v>
      </c>
      <c r="B8" s="42" t="s">
        <v>875</v>
      </c>
    </row>
    <row r="9" spans="1:2" ht="108">
      <c r="A9" s="42" t="s">
        <v>840</v>
      </c>
      <c r="B9" s="42" t="s">
        <v>876</v>
      </c>
    </row>
    <row r="10" spans="1:2" ht="94.5">
      <c r="A10" s="42" t="s">
        <v>841</v>
      </c>
      <c r="B10" s="41" t="s">
        <v>877</v>
      </c>
    </row>
    <row r="11" spans="1:2" ht="108">
      <c r="A11" s="42" t="s">
        <v>842</v>
      </c>
      <c r="B11" s="41" t="s">
        <v>878</v>
      </c>
    </row>
    <row r="12" spans="1:2" ht="94.5">
      <c r="A12" s="42" t="s">
        <v>843</v>
      </c>
      <c r="B12" s="41" t="s">
        <v>879</v>
      </c>
    </row>
    <row r="13" spans="1:2" ht="94.5">
      <c r="A13" s="42" t="s">
        <v>844</v>
      </c>
      <c r="B13" s="41" t="s">
        <v>880</v>
      </c>
    </row>
    <row r="14" spans="1:2" ht="94.5">
      <c r="A14" s="42" t="s">
        <v>845</v>
      </c>
      <c r="B14" s="41" t="s">
        <v>881</v>
      </c>
    </row>
    <row r="15" spans="1:2" ht="94.5">
      <c r="A15" s="42" t="s">
        <v>846</v>
      </c>
      <c r="B15" s="41" t="s">
        <v>883</v>
      </c>
    </row>
    <row r="16" spans="1:2" ht="108">
      <c r="A16" s="42" t="s">
        <v>847</v>
      </c>
      <c r="B16" s="41" t="s">
        <v>885</v>
      </c>
    </row>
    <row r="17" spans="1:2" ht="94.5">
      <c r="A17" s="42" t="s">
        <v>700</v>
      </c>
      <c r="B17" s="41" t="s">
        <v>884</v>
      </c>
    </row>
    <row r="18" spans="1:2" ht="94.5">
      <c r="A18" s="42" t="s">
        <v>701</v>
      </c>
      <c r="B18" s="41" t="s">
        <v>886</v>
      </c>
    </row>
    <row r="19" spans="1:2" ht="94.5">
      <c r="A19" s="42" t="s">
        <v>702</v>
      </c>
      <c r="B19" s="41" t="s">
        <v>887</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80BF8-1AE4-4F5B-9507-DD31A0710783}">
  <dimension ref="A1:Z124"/>
  <sheetViews>
    <sheetView topLeftCell="A9" zoomScale="115" zoomScaleNormal="115" workbookViewId="0">
      <selection activeCell="F12" sqref="F12"/>
    </sheetView>
  </sheetViews>
  <sheetFormatPr defaultColWidth="8.875" defaultRowHeight="13.5"/>
  <cols>
    <col min="1" max="1" width="6.375" style="37" customWidth="1"/>
    <col min="2" max="2" width="25.25" style="37" customWidth="1"/>
    <col min="3" max="3" width="25.625" style="37" customWidth="1"/>
    <col min="4" max="4" width="17.75" style="37" customWidth="1"/>
    <col min="5" max="5" width="7.125" style="37" customWidth="1"/>
    <col min="6" max="6" width="32.125" style="37" customWidth="1"/>
    <col min="7" max="7" width="8.625" style="37" customWidth="1"/>
    <col min="8" max="8" width="14.625" style="37" customWidth="1"/>
    <col min="9" max="9" width="28.625" style="37" customWidth="1"/>
    <col min="10" max="10" width="35.125" customWidth="1"/>
  </cols>
  <sheetData>
    <row r="1" spans="1:26" ht="21.75">
      <c r="A1" s="25" t="s">
        <v>0</v>
      </c>
      <c r="B1" s="43" t="s">
        <v>1</v>
      </c>
      <c r="C1" s="44"/>
      <c r="D1" s="26" t="s">
        <v>455</v>
      </c>
      <c r="E1" s="26" t="s">
        <v>456</v>
      </c>
      <c r="F1" s="26" t="s">
        <v>134</v>
      </c>
      <c r="G1" s="26" t="s">
        <v>135</v>
      </c>
      <c r="H1" s="27" t="s">
        <v>530</v>
      </c>
      <c r="I1" s="25" t="s">
        <v>687</v>
      </c>
      <c r="J1" s="22"/>
    </row>
    <row r="2" spans="1:26" ht="39" customHeight="1">
      <c r="A2" s="28">
        <v>116264</v>
      </c>
      <c r="B2" s="29" t="s">
        <v>16</v>
      </c>
      <c r="C2" s="30" t="s">
        <v>703</v>
      </c>
      <c r="D2" s="29" t="s">
        <v>223</v>
      </c>
      <c r="E2" s="29" t="s">
        <v>210</v>
      </c>
      <c r="F2" s="29" t="s">
        <v>704</v>
      </c>
      <c r="G2" s="29" t="s">
        <v>136</v>
      </c>
      <c r="H2" s="29" t="s">
        <v>565</v>
      </c>
      <c r="I2" s="35" t="s">
        <v>832</v>
      </c>
      <c r="J2" s="23"/>
    </row>
    <row r="3" spans="1:26" ht="39" customHeight="1">
      <c r="A3" s="28">
        <v>128075</v>
      </c>
      <c r="B3" s="29" t="s">
        <v>39</v>
      </c>
      <c r="C3" s="29" t="s">
        <v>40</v>
      </c>
      <c r="D3" s="29" t="s">
        <v>254</v>
      </c>
      <c r="E3" s="29" t="s">
        <v>210</v>
      </c>
      <c r="F3" s="29" t="s">
        <v>705</v>
      </c>
      <c r="G3" s="29" t="s">
        <v>136</v>
      </c>
      <c r="H3" s="29" t="s">
        <v>552</v>
      </c>
      <c r="I3" s="35" t="s">
        <v>832</v>
      </c>
      <c r="J3" s="23"/>
    </row>
    <row r="4" spans="1:26" ht="39" customHeight="1">
      <c r="A4" s="28">
        <v>145284</v>
      </c>
      <c r="B4" s="29" t="s">
        <v>171</v>
      </c>
      <c r="C4" s="29" t="s">
        <v>25</v>
      </c>
      <c r="D4" s="29" t="s">
        <v>398</v>
      </c>
      <c r="E4" s="29" t="s">
        <v>210</v>
      </c>
      <c r="F4" s="29" t="s">
        <v>706</v>
      </c>
      <c r="G4" s="29" t="s">
        <v>136</v>
      </c>
      <c r="H4" s="29" t="s">
        <v>565</v>
      </c>
      <c r="I4" s="35" t="s">
        <v>832</v>
      </c>
      <c r="J4" s="24"/>
    </row>
    <row r="5" spans="1:26" ht="39" customHeight="1">
      <c r="A5" s="28">
        <v>129742</v>
      </c>
      <c r="B5" s="29" t="s">
        <v>51</v>
      </c>
      <c r="C5" s="29" t="s">
        <v>707</v>
      </c>
      <c r="D5" s="29" t="s">
        <v>267</v>
      </c>
      <c r="E5" s="29" t="s">
        <v>210</v>
      </c>
      <c r="F5" s="29" t="s">
        <v>708</v>
      </c>
      <c r="G5" s="29" t="s">
        <v>136</v>
      </c>
      <c r="H5" s="29" t="s">
        <v>552</v>
      </c>
      <c r="I5" s="35" t="s">
        <v>833</v>
      </c>
      <c r="J5" s="23"/>
    </row>
    <row r="6" spans="1:26" ht="39" customHeight="1">
      <c r="A6" s="28">
        <v>132237</v>
      </c>
      <c r="B6" s="29" t="s">
        <v>76</v>
      </c>
      <c r="C6" s="29" t="s">
        <v>77</v>
      </c>
      <c r="D6" s="29" t="s">
        <v>295</v>
      </c>
      <c r="E6" s="29" t="s">
        <v>210</v>
      </c>
      <c r="F6" s="29" t="s">
        <v>709</v>
      </c>
      <c r="G6" s="29" t="s">
        <v>136</v>
      </c>
      <c r="H6" s="29" t="s">
        <v>552</v>
      </c>
      <c r="I6" s="35" t="s">
        <v>833</v>
      </c>
      <c r="J6" s="24"/>
      <c r="K6" s="39"/>
      <c r="L6" s="39" t="s">
        <v>552</v>
      </c>
      <c r="M6" s="39" t="s">
        <v>856</v>
      </c>
      <c r="N6" s="39" t="s">
        <v>857</v>
      </c>
      <c r="O6" s="39" t="s">
        <v>582</v>
      </c>
      <c r="P6" s="39" t="s">
        <v>534</v>
      </c>
      <c r="Q6" s="39" t="s">
        <v>858</v>
      </c>
      <c r="R6" s="39" t="s">
        <v>859</v>
      </c>
      <c r="S6" s="39" t="s">
        <v>860</v>
      </c>
      <c r="T6" s="39" t="s">
        <v>861</v>
      </c>
      <c r="U6" s="39" t="s">
        <v>652</v>
      </c>
      <c r="V6" s="39" t="s">
        <v>617</v>
      </c>
      <c r="W6" s="39" t="s">
        <v>686</v>
      </c>
      <c r="X6" s="39" t="s">
        <v>862</v>
      </c>
      <c r="Y6" s="39" t="s">
        <v>854</v>
      </c>
      <c r="Z6" s="39" t="s">
        <v>863</v>
      </c>
    </row>
    <row r="7" spans="1:26" ht="39" customHeight="1">
      <c r="A7" s="28">
        <v>136257</v>
      </c>
      <c r="B7" s="29" t="s">
        <v>106</v>
      </c>
      <c r="C7" s="29" t="s">
        <v>63</v>
      </c>
      <c r="D7" s="29" t="s">
        <v>340</v>
      </c>
      <c r="E7" s="29" t="s">
        <v>210</v>
      </c>
      <c r="F7" s="29" t="s">
        <v>710</v>
      </c>
      <c r="G7" s="29" t="s">
        <v>11</v>
      </c>
      <c r="H7" s="29" t="s">
        <v>552</v>
      </c>
      <c r="I7" s="35" t="s">
        <v>833</v>
      </c>
      <c r="J7" s="24"/>
      <c r="K7" s="39" t="s">
        <v>864</v>
      </c>
      <c r="L7" s="39">
        <f>COUNTIFS(E:E, K7, H:H, L6)</f>
        <v>20</v>
      </c>
      <c r="M7" s="39">
        <f>COUNTIFS(E:E, K7, H:H, M6)</f>
        <v>14</v>
      </c>
      <c r="N7" s="39">
        <f>COUNTIFS(E:E, K7, H:H, N6)</f>
        <v>5</v>
      </c>
      <c r="O7" s="39">
        <f>COUNTIFS(E:E, K7, H:H, O6)</f>
        <v>1</v>
      </c>
      <c r="P7" s="39">
        <f>COUNTIFS(E:E, K7, H:H, P6)</f>
        <v>4</v>
      </c>
      <c r="Q7" s="39">
        <f>COUNTIFS(E:E, K7, H:H, Q6)</f>
        <v>4</v>
      </c>
      <c r="R7" s="39">
        <f>COUNTIFS(E:E, K7, H:H, R6)</f>
        <v>8</v>
      </c>
      <c r="S7" s="39">
        <f>COUNTIFS(E:E, K7, H:H, S6)</f>
        <v>1</v>
      </c>
      <c r="T7" s="39">
        <f>COUNTIFS(E:E, K7, H:H, T6)</f>
        <v>0</v>
      </c>
      <c r="U7" s="39">
        <f>COUNTIFS(E:E, K7, H:H, U6)</f>
        <v>0</v>
      </c>
      <c r="V7" s="39">
        <f>COUNTIFS(E:E, K7, H:H, V6)</f>
        <v>0</v>
      </c>
      <c r="W7" s="39">
        <f>COUNTIFS(E:E, K7, H:H, W6)</f>
        <v>0</v>
      </c>
      <c r="X7" s="39">
        <f>SUM(L7:W7)</f>
        <v>57</v>
      </c>
      <c r="Y7" s="39">
        <f>Z7-X7</f>
        <v>0</v>
      </c>
      <c r="Z7" s="39">
        <f>COUNTIFS(E:E, K7)</f>
        <v>57</v>
      </c>
    </row>
    <row r="8" spans="1:26" ht="39" customHeight="1">
      <c r="A8" s="28">
        <v>137764</v>
      </c>
      <c r="B8" s="29" t="s">
        <v>114</v>
      </c>
      <c r="C8" s="29" t="s">
        <v>63</v>
      </c>
      <c r="D8" s="29" t="s">
        <v>346</v>
      </c>
      <c r="E8" s="29" t="s">
        <v>210</v>
      </c>
      <c r="F8" s="29" t="s">
        <v>711</v>
      </c>
      <c r="G8" s="29" t="s">
        <v>136</v>
      </c>
      <c r="H8" s="29" t="s">
        <v>552</v>
      </c>
      <c r="I8" s="35" t="s">
        <v>833</v>
      </c>
      <c r="J8" s="23"/>
      <c r="K8" s="39" t="s">
        <v>865</v>
      </c>
      <c r="L8" s="39">
        <f>COUNTIFS(E:E, K8, H:H, L6)</f>
        <v>0</v>
      </c>
      <c r="M8" s="39">
        <f>COUNTIFS(E:E, K8, H:H, M6)</f>
        <v>1</v>
      </c>
      <c r="N8" s="39">
        <f>COUNTIFS(E:E, K8, H:H, N6)</f>
        <v>0</v>
      </c>
      <c r="O8" s="39">
        <f>COUNTIFS(E:E, K8, H:H, O6)</f>
        <v>4</v>
      </c>
      <c r="P8" s="39">
        <f>COUNTIFS(E:E, K8, H:H, P6)</f>
        <v>1</v>
      </c>
      <c r="Q8" s="39">
        <f>COUNTIFS(E:E, K8, H:H, Q6)</f>
        <v>0</v>
      </c>
      <c r="R8" s="39">
        <f>COUNTIFS(E:E, K8, H:H, R6)</f>
        <v>3</v>
      </c>
      <c r="S8" s="39">
        <f>COUNTIFS(E:E, K8, H:H, S6)</f>
        <v>0</v>
      </c>
      <c r="T8" s="39">
        <f>COUNTIFS(E:E, K8, H:H, T6)</f>
        <v>0</v>
      </c>
      <c r="U8" s="39">
        <f>COUNTIFS(E:E, K8, H:H, U6)</f>
        <v>0</v>
      </c>
      <c r="V8" s="39">
        <f>COUNTIFS(E:E, K8, H:H, V6)</f>
        <v>11</v>
      </c>
      <c r="W8" s="39">
        <f>COUNTIFS(E:E, K8, H:H, W6)</f>
        <v>1</v>
      </c>
      <c r="X8" s="39">
        <f>SUM(L8:W8)</f>
        <v>21</v>
      </c>
      <c r="Y8" s="39">
        <f t="shared" ref="Y8:Y10" si="0">Z8-X8</f>
        <v>3</v>
      </c>
      <c r="Z8" s="39">
        <f>COUNTIFS(E:E, K8)</f>
        <v>24</v>
      </c>
    </row>
    <row r="9" spans="1:26" ht="39" customHeight="1">
      <c r="A9" s="28">
        <v>138188</v>
      </c>
      <c r="B9" s="29" t="s">
        <v>119</v>
      </c>
      <c r="C9" s="29" t="s">
        <v>712</v>
      </c>
      <c r="D9" s="29" t="s">
        <v>350</v>
      </c>
      <c r="E9" s="31" t="s">
        <v>210</v>
      </c>
      <c r="F9" s="29" t="s">
        <v>351</v>
      </c>
      <c r="G9" s="29" t="s">
        <v>11</v>
      </c>
      <c r="H9" s="29" t="s">
        <v>681</v>
      </c>
      <c r="I9" s="35" t="s">
        <v>833</v>
      </c>
      <c r="J9" s="23"/>
      <c r="K9" s="39" t="s">
        <v>866</v>
      </c>
      <c r="L9" s="39">
        <f>COUNTIFS(E:E, K9, H:H, L6)</f>
        <v>6</v>
      </c>
      <c r="M9" s="39">
        <f>COUNTIFS(E:E, K9, H:H, M6)</f>
        <v>1</v>
      </c>
      <c r="N9" s="39">
        <f>COUNTIFS(E:E, K9, H:H, N6)</f>
        <v>0</v>
      </c>
      <c r="O9" s="39">
        <f>COUNTIFS(E:E, K9, H:H, O6)</f>
        <v>1</v>
      </c>
      <c r="P9" s="39">
        <f>COUNTIFS(E:E, K9, H:H, P6)</f>
        <v>3</v>
      </c>
      <c r="Q9" s="39">
        <f>COUNTIFS(E:E, K9, H:H, Q6)</f>
        <v>3</v>
      </c>
      <c r="R9" s="39">
        <f>COUNTIFS(E:E, K9, H:H, R6)</f>
        <v>0</v>
      </c>
      <c r="S9" s="39">
        <f>COUNTIFS(E:E, K9, H:H, S6)</f>
        <v>0</v>
      </c>
      <c r="T9" s="39">
        <f>COUNTIFS(E:E, K9, H:H, T6)</f>
        <v>1</v>
      </c>
      <c r="U9" s="39">
        <f>COUNTIFS(E:E, K9, H:H, U6)</f>
        <v>0</v>
      </c>
      <c r="V9" s="39">
        <f>COUNTIFS(E:E, K9, H:H, V6)</f>
        <v>1</v>
      </c>
      <c r="W9" s="39">
        <f>COUNTIFS(E:E, K9, H:H, W6)</f>
        <v>1</v>
      </c>
      <c r="X9" s="39">
        <f>SUM(L9:W9)</f>
        <v>17</v>
      </c>
      <c r="Y9" s="39">
        <f>Z9-X9</f>
        <v>2</v>
      </c>
      <c r="Z9" s="39">
        <f>COUNTIFS(E:E, K9)</f>
        <v>19</v>
      </c>
    </row>
    <row r="10" spans="1:26" ht="39" customHeight="1">
      <c r="A10" s="28">
        <v>138224</v>
      </c>
      <c r="B10" s="29" t="s">
        <v>120</v>
      </c>
      <c r="C10" s="29" t="s">
        <v>121</v>
      </c>
      <c r="D10" s="29" t="s">
        <v>352</v>
      </c>
      <c r="E10" s="29" t="s">
        <v>210</v>
      </c>
      <c r="F10" s="29" t="s">
        <v>713</v>
      </c>
      <c r="G10" s="29" t="s">
        <v>136</v>
      </c>
      <c r="H10" s="29" t="s">
        <v>565</v>
      </c>
      <c r="I10" s="35" t="s">
        <v>833</v>
      </c>
      <c r="J10" s="24"/>
      <c r="K10" s="39" t="s">
        <v>206</v>
      </c>
      <c r="L10" s="39">
        <f>COUNTIFS(E:E, K10, H:H, L6)</f>
        <v>6</v>
      </c>
      <c r="M10" s="39">
        <f>COUNTIFS(E:E, K10, H:H, M6)</f>
        <v>0</v>
      </c>
      <c r="N10" s="39">
        <f>COUNTIFS(E:E, K10, H:H, N6)</f>
        <v>0</v>
      </c>
      <c r="O10" s="39">
        <f>COUNTIFS(E:E, K10, H:H, O6)</f>
        <v>2</v>
      </c>
      <c r="P10" s="39">
        <f>COUNTIFS(E:E, K10, H:H, P6)</f>
        <v>0</v>
      </c>
      <c r="Q10" s="39">
        <f>COUNTIFS(E:E, K10, H:H, Q6)</f>
        <v>1</v>
      </c>
      <c r="R10" s="39">
        <f>COUNTIFS(E:E, K10, H:H, R6)</f>
        <v>0</v>
      </c>
      <c r="S10" s="39">
        <f>COUNTIFS(E:E, K10, H:H, S6)</f>
        <v>1</v>
      </c>
      <c r="T10" s="39">
        <f>COUNTIFS(E:E, K10, H:H, T6)</f>
        <v>6</v>
      </c>
      <c r="U10" s="39">
        <f>COUNTIFS(E:E, K10, H:H, U6)</f>
        <v>5</v>
      </c>
      <c r="V10" s="39">
        <f>COUNTIFS(E:E, K10, H:H, V6)</f>
        <v>0</v>
      </c>
      <c r="W10" s="39">
        <f>COUNTIFS(E:E, K10, H:H, W6)</f>
        <v>0</v>
      </c>
      <c r="X10" s="39">
        <f>SUM(L10:V10)</f>
        <v>21</v>
      </c>
      <c r="Y10" s="39">
        <f t="shared" si="0"/>
        <v>2</v>
      </c>
      <c r="Z10" s="39">
        <f>COUNTIFS(E:E, K10)</f>
        <v>23</v>
      </c>
    </row>
    <row r="11" spans="1:26" ht="39" customHeight="1">
      <c r="A11" s="32">
        <v>139167</v>
      </c>
      <c r="B11" s="29" t="s">
        <v>127</v>
      </c>
      <c r="C11" s="29" t="s">
        <v>42</v>
      </c>
      <c r="D11" s="29" t="s">
        <v>357</v>
      </c>
      <c r="E11" s="29" t="s">
        <v>210</v>
      </c>
      <c r="F11" s="29" t="s">
        <v>812</v>
      </c>
      <c r="G11" s="29" t="s">
        <v>136</v>
      </c>
      <c r="H11" s="29" t="s">
        <v>565</v>
      </c>
      <c r="I11" s="35" t="s">
        <v>833</v>
      </c>
      <c r="J11" s="24"/>
      <c r="K11" s="39"/>
      <c r="L11" s="39"/>
      <c r="M11" s="39"/>
      <c r="N11" s="39"/>
      <c r="O11" s="39"/>
      <c r="P11" s="39"/>
      <c r="Q11" s="39"/>
      <c r="R11" s="39"/>
      <c r="S11" s="39"/>
      <c r="T11" s="39"/>
      <c r="U11" s="39"/>
      <c r="V11" s="39"/>
      <c r="W11" s="39"/>
      <c r="X11" s="39"/>
      <c r="Y11" s="39"/>
      <c r="Z11" s="39">
        <f>SUM(Z7:Z10)</f>
        <v>123</v>
      </c>
    </row>
    <row r="12" spans="1:26" ht="39" customHeight="1">
      <c r="A12" s="32">
        <v>143756</v>
      </c>
      <c r="B12" s="29" t="s">
        <v>162</v>
      </c>
      <c r="C12" s="29" t="s">
        <v>77</v>
      </c>
      <c r="D12" s="29" t="s">
        <v>390</v>
      </c>
      <c r="E12" s="29" t="s">
        <v>210</v>
      </c>
      <c r="F12" s="29" t="s">
        <v>714</v>
      </c>
      <c r="G12" s="29" t="s">
        <v>136</v>
      </c>
      <c r="H12" s="29" t="s">
        <v>565</v>
      </c>
      <c r="I12" s="35" t="s">
        <v>833</v>
      </c>
      <c r="J12" s="23"/>
    </row>
    <row r="13" spans="1:26" ht="39" customHeight="1">
      <c r="A13" s="28">
        <v>132399</v>
      </c>
      <c r="B13" s="29" t="s">
        <v>79</v>
      </c>
      <c r="C13" s="29" t="s">
        <v>80</v>
      </c>
      <c r="D13" s="29" t="s">
        <v>297</v>
      </c>
      <c r="E13" s="29" t="s">
        <v>210</v>
      </c>
      <c r="F13" s="29" t="s">
        <v>715</v>
      </c>
      <c r="G13" s="29" t="s">
        <v>136</v>
      </c>
      <c r="H13" s="29" t="s">
        <v>602</v>
      </c>
      <c r="I13" s="36" t="s">
        <v>834</v>
      </c>
      <c r="J13" s="23"/>
      <c r="L13" t="s">
        <v>888</v>
      </c>
      <c r="M13" s="29" t="s">
        <v>11</v>
      </c>
      <c r="N13" s="29" t="s">
        <v>136</v>
      </c>
    </row>
    <row r="14" spans="1:26" ht="39" customHeight="1">
      <c r="A14" s="28">
        <v>133762</v>
      </c>
      <c r="B14" s="29" t="s">
        <v>94</v>
      </c>
      <c r="C14" s="29" t="s">
        <v>63</v>
      </c>
      <c r="D14" s="29" t="s">
        <v>317</v>
      </c>
      <c r="E14" s="29" t="s">
        <v>210</v>
      </c>
      <c r="F14" s="29" t="s">
        <v>688</v>
      </c>
      <c r="G14" s="29" t="s">
        <v>11</v>
      </c>
      <c r="H14" s="29" t="s">
        <v>552</v>
      </c>
      <c r="I14" s="35" t="s">
        <v>835</v>
      </c>
      <c r="J14" s="24"/>
      <c r="L14">
        <f>COUNTIF(G:G,L13)</f>
        <v>7</v>
      </c>
      <c r="M14">
        <f>COUNTIF(G:G,M13)</f>
        <v>28</v>
      </c>
      <c r="N14">
        <f>COUNTIF(G:G,N13)</f>
        <v>88</v>
      </c>
    </row>
    <row r="15" spans="1:26" ht="39" customHeight="1">
      <c r="A15" s="28">
        <v>142055</v>
      </c>
      <c r="B15" s="29" t="s">
        <v>158</v>
      </c>
      <c r="C15" s="29" t="s">
        <v>159</v>
      </c>
      <c r="D15" s="29" t="s">
        <v>689</v>
      </c>
      <c r="E15" s="29" t="s">
        <v>210</v>
      </c>
      <c r="F15" s="29" t="s">
        <v>721</v>
      </c>
      <c r="G15" s="29" t="s">
        <v>11</v>
      </c>
      <c r="H15" s="29" t="s">
        <v>565</v>
      </c>
      <c r="I15" s="35" t="s">
        <v>835</v>
      </c>
      <c r="J15" s="23"/>
    </row>
    <row r="16" spans="1:26" ht="39" customHeight="1">
      <c r="A16" s="28">
        <v>150765</v>
      </c>
      <c r="B16" s="29" t="s">
        <v>186</v>
      </c>
      <c r="C16" s="29" t="s">
        <v>187</v>
      </c>
      <c r="D16" s="29" t="s">
        <v>427</v>
      </c>
      <c r="E16" s="29" t="s">
        <v>210</v>
      </c>
      <c r="F16" s="29" t="s">
        <v>722</v>
      </c>
      <c r="G16" s="29" t="s">
        <v>11</v>
      </c>
      <c r="H16" s="29" t="s">
        <v>565</v>
      </c>
      <c r="I16" s="35" t="s">
        <v>835</v>
      </c>
      <c r="J16" s="23"/>
    </row>
    <row r="17" spans="1:10" ht="39" customHeight="1">
      <c r="A17" s="28">
        <v>120799</v>
      </c>
      <c r="B17" s="29" t="s">
        <v>19</v>
      </c>
      <c r="C17" s="29" t="s">
        <v>20</v>
      </c>
      <c r="D17" s="29" t="s">
        <v>716</v>
      </c>
      <c r="E17" s="29" t="s">
        <v>210</v>
      </c>
      <c r="F17" s="29" t="s">
        <v>717</v>
      </c>
      <c r="G17" s="29" t="s">
        <v>11</v>
      </c>
      <c r="H17" s="29" t="s">
        <v>552</v>
      </c>
      <c r="I17" s="36" t="s">
        <v>836</v>
      </c>
      <c r="J17" s="23"/>
    </row>
    <row r="18" spans="1:10" ht="39" customHeight="1">
      <c r="A18" s="28">
        <v>128961</v>
      </c>
      <c r="B18" s="29" t="s">
        <v>47</v>
      </c>
      <c r="C18" s="29" t="s">
        <v>42</v>
      </c>
      <c r="D18" s="29" t="s">
        <v>262</v>
      </c>
      <c r="E18" s="29" t="s">
        <v>210</v>
      </c>
      <c r="F18" s="29" t="s">
        <v>718</v>
      </c>
      <c r="G18" s="29" t="s">
        <v>136</v>
      </c>
      <c r="H18" s="29" t="s">
        <v>552</v>
      </c>
      <c r="I18" s="36" t="s">
        <v>836</v>
      </c>
      <c r="J18" s="24"/>
    </row>
    <row r="19" spans="1:10" ht="39" customHeight="1">
      <c r="A19" s="28">
        <v>141232</v>
      </c>
      <c r="B19" s="29" t="s">
        <v>150</v>
      </c>
      <c r="C19" s="29" t="s">
        <v>40</v>
      </c>
      <c r="D19" s="29" t="s">
        <v>376</v>
      </c>
      <c r="E19" s="29" t="s">
        <v>210</v>
      </c>
      <c r="F19" s="29" t="s">
        <v>719</v>
      </c>
      <c r="G19" s="29" t="s">
        <v>136</v>
      </c>
      <c r="H19" s="29" t="s">
        <v>602</v>
      </c>
      <c r="I19" s="36" t="s">
        <v>836</v>
      </c>
      <c r="J19" s="24"/>
    </row>
    <row r="20" spans="1:10" ht="39" customHeight="1">
      <c r="A20" s="28">
        <v>150265</v>
      </c>
      <c r="B20" s="29" t="s">
        <v>19</v>
      </c>
      <c r="C20" s="29" t="s">
        <v>20</v>
      </c>
      <c r="D20" s="29" t="s">
        <v>420</v>
      </c>
      <c r="E20" s="29" t="s">
        <v>210</v>
      </c>
      <c r="F20" s="29" t="s">
        <v>720</v>
      </c>
      <c r="G20" s="29" t="s">
        <v>136</v>
      </c>
      <c r="H20" s="29" t="s">
        <v>602</v>
      </c>
      <c r="I20" s="36" t="s">
        <v>836</v>
      </c>
      <c r="J20" s="23"/>
    </row>
    <row r="21" spans="1:10" ht="39" customHeight="1">
      <c r="A21" s="28">
        <v>124247</v>
      </c>
      <c r="B21" s="29" t="s">
        <v>29</v>
      </c>
      <c r="C21" s="29" t="s">
        <v>30</v>
      </c>
      <c r="D21" s="29" t="s">
        <v>242</v>
      </c>
      <c r="E21" s="29" t="s">
        <v>210</v>
      </c>
      <c r="F21" s="29" t="s">
        <v>723</v>
      </c>
      <c r="G21" s="29" t="s">
        <v>136</v>
      </c>
      <c r="H21" s="29" t="s">
        <v>533</v>
      </c>
      <c r="I21" s="35" t="s">
        <v>837</v>
      </c>
      <c r="J21" s="23"/>
    </row>
    <row r="22" spans="1:10" ht="39" customHeight="1">
      <c r="A22" s="28">
        <v>134451</v>
      </c>
      <c r="B22" s="29" t="s">
        <v>96</v>
      </c>
      <c r="C22" s="29" t="s">
        <v>97</v>
      </c>
      <c r="D22" s="29" t="s">
        <v>319</v>
      </c>
      <c r="E22" s="29" t="s">
        <v>210</v>
      </c>
      <c r="F22" s="29" t="s">
        <v>724</v>
      </c>
      <c r="G22" s="29" t="s">
        <v>136</v>
      </c>
      <c r="H22" s="29" t="s">
        <v>552</v>
      </c>
      <c r="I22" s="35" t="s">
        <v>837</v>
      </c>
      <c r="J22" s="23"/>
    </row>
    <row r="23" spans="1:10" ht="39" customHeight="1">
      <c r="A23" s="28">
        <v>137476</v>
      </c>
      <c r="B23" s="29" t="s">
        <v>113</v>
      </c>
      <c r="C23" s="29" t="s">
        <v>63</v>
      </c>
      <c r="D23" s="29" t="s">
        <v>345</v>
      </c>
      <c r="E23" s="29" t="s">
        <v>210</v>
      </c>
      <c r="F23" s="29" t="s">
        <v>725</v>
      </c>
      <c r="G23" s="29" t="s">
        <v>136</v>
      </c>
      <c r="H23" s="29" t="s">
        <v>565</v>
      </c>
      <c r="I23" s="35" t="s">
        <v>837</v>
      </c>
      <c r="J23" s="23"/>
    </row>
    <row r="24" spans="1:10" ht="39" customHeight="1">
      <c r="A24" s="28">
        <v>155841</v>
      </c>
      <c r="B24" s="29" t="s">
        <v>200</v>
      </c>
      <c r="C24" s="29" t="s">
        <v>201</v>
      </c>
      <c r="D24" s="29" t="s">
        <v>139</v>
      </c>
      <c r="E24" s="29" t="s">
        <v>210</v>
      </c>
      <c r="F24" s="29" t="s">
        <v>726</v>
      </c>
      <c r="G24" s="29" t="s">
        <v>136</v>
      </c>
      <c r="H24" s="29" t="s">
        <v>565</v>
      </c>
      <c r="I24" s="35" t="s">
        <v>837</v>
      </c>
      <c r="J24" s="23"/>
    </row>
    <row r="25" spans="1:10" ht="39" customHeight="1">
      <c r="A25" s="28">
        <v>130554</v>
      </c>
      <c r="B25" s="29" t="s">
        <v>56</v>
      </c>
      <c r="C25" s="29" t="s">
        <v>57</v>
      </c>
      <c r="D25" s="29" t="s">
        <v>273</v>
      </c>
      <c r="E25" s="29" t="s">
        <v>210</v>
      </c>
      <c r="F25" s="29" t="s">
        <v>727</v>
      </c>
      <c r="G25" s="29" t="s">
        <v>136</v>
      </c>
      <c r="H25" s="29" t="s">
        <v>540</v>
      </c>
      <c r="I25" s="35" t="s">
        <v>838</v>
      </c>
      <c r="J25" s="23"/>
    </row>
    <row r="26" spans="1:10" ht="39" customHeight="1">
      <c r="A26" s="32">
        <v>130557</v>
      </c>
      <c r="B26" s="29" t="s">
        <v>58</v>
      </c>
      <c r="C26" s="29" t="s">
        <v>59</v>
      </c>
      <c r="D26" s="29" t="s">
        <v>274</v>
      </c>
      <c r="E26" s="29" t="s">
        <v>210</v>
      </c>
      <c r="F26" s="29" t="s">
        <v>728</v>
      </c>
      <c r="G26" s="29" t="s">
        <v>136</v>
      </c>
      <c r="H26" s="29" t="s">
        <v>540</v>
      </c>
      <c r="I26" s="35" t="s">
        <v>838</v>
      </c>
      <c r="J26" s="23"/>
    </row>
    <row r="27" spans="1:10" ht="39" customHeight="1">
      <c r="A27" s="28">
        <v>132629</v>
      </c>
      <c r="B27" s="29" t="s">
        <v>86</v>
      </c>
      <c r="C27" s="29" t="s">
        <v>63</v>
      </c>
      <c r="D27" s="29" t="s">
        <v>303</v>
      </c>
      <c r="E27" s="29" t="s">
        <v>210</v>
      </c>
      <c r="F27" s="29" t="s">
        <v>729</v>
      </c>
      <c r="G27" s="29" t="s">
        <v>136</v>
      </c>
      <c r="H27" s="29" t="s">
        <v>540</v>
      </c>
      <c r="I27" s="35" t="s">
        <v>838</v>
      </c>
      <c r="J27" s="24"/>
    </row>
    <row r="28" spans="1:10" ht="39" customHeight="1">
      <c r="A28" s="28">
        <v>133302</v>
      </c>
      <c r="B28" s="29" t="s">
        <v>93</v>
      </c>
      <c r="C28" s="29" t="s">
        <v>13</v>
      </c>
      <c r="D28" s="29" t="s">
        <v>312</v>
      </c>
      <c r="E28" s="29" t="s">
        <v>210</v>
      </c>
      <c r="F28" s="29" t="s">
        <v>730</v>
      </c>
      <c r="G28" s="29" t="s">
        <v>136</v>
      </c>
      <c r="H28" s="29" t="s">
        <v>544</v>
      </c>
      <c r="I28" s="35" t="s">
        <v>838</v>
      </c>
      <c r="J28" s="23"/>
    </row>
    <row r="29" spans="1:10" ht="39" customHeight="1">
      <c r="A29" s="28">
        <v>134086</v>
      </c>
      <c r="B29" s="29" t="s">
        <v>95</v>
      </c>
      <c r="C29" s="29" t="s">
        <v>18</v>
      </c>
      <c r="D29" s="29" t="s">
        <v>318</v>
      </c>
      <c r="E29" s="29" t="s">
        <v>210</v>
      </c>
      <c r="F29" s="29" t="s">
        <v>731</v>
      </c>
      <c r="G29" s="29" t="s">
        <v>136</v>
      </c>
      <c r="H29" s="29" t="s">
        <v>544</v>
      </c>
      <c r="I29" s="35" t="s">
        <v>838</v>
      </c>
      <c r="J29" s="23"/>
    </row>
    <row r="30" spans="1:10" ht="39" customHeight="1">
      <c r="A30" s="28">
        <v>135329</v>
      </c>
      <c r="B30" s="29" t="s">
        <v>105</v>
      </c>
      <c r="C30" s="29" t="s">
        <v>90</v>
      </c>
      <c r="D30" s="29" t="s">
        <v>329</v>
      </c>
      <c r="E30" s="29" t="s">
        <v>210</v>
      </c>
      <c r="F30" s="29" t="s">
        <v>732</v>
      </c>
      <c r="G30" s="29" t="s">
        <v>136</v>
      </c>
      <c r="H30" s="29" t="s">
        <v>540</v>
      </c>
      <c r="I30" s="35" t="s">
        <v>838</v>
      </c>
      <c r="J30" s="23"/>
    </row>
    <row r="31" spans="1:10" ht="39" customHeight="1">
      <c r="A31" s="32">
        <v>141118</v>
      </c>
      <c r="B31" s="29" t="s">
        <v>146</v>
      </c>
      <c r="C31" s="29" t="s">
        <v>147</v>
      </c>
      <c r="D31" s="29" t="s">
        <v>374</v>
      </c>
      <c r="E31" s="29" t="s">
        <v>210</v>
      </c>
      <c r="F31" s="29" t="s">
        <v>733</v>
      </c>
      <c r="G31" s="29" t="s">
        <v>136</v>
      </c>
      <c r="H31" s="29" t="s">
        <v>544</v>
      </c>
      <c r="I31" s="35" t="s">
        <v>838</v>
      </c>
      <c r="J31" s="24"/>
    </row>
    <row r="32" spans="1:10" ht="39" customHeight="1">
      <c r="A32" s="28">
        <v>150110</v>
      </c>
      <c r="B32" s="29" t="s">
        <v>182</v>
      </c>
      <c r="C32" s="29" t="s">
        <v>57</v>
      </c>
      <c r="D32" s="29" t="s">
        <v>419</v>
      </c>
      <c r="E32" s="29" t="s">
        <v>210</v>
      </c>
      <c r="F32" s="29" t="s">
        <v>734</v>
      </c>
      <c r="G32" s="29" t="s">
        <v>11</v>
      </c>
      <c r="H32" s="29" t="s">
        <v>544</v>
      </c>
      <c r="I32" s="35" t="s">
        <v>838</v>
      </c>
      <c r="J32" s="23"/>
    </row>
    <row r="33" spans="1:10" ht="39" customHeight="1">
      <c r="A33" s="28">
        <v>155426</v>
      </c>
      <c r="B33" s="29" t="s">
        <v>199</v>
      </c>
      <c r="C33" s="29" t="s">
        <v>40</v>
      </c>
      <c r="D33" s="29" t="s">
        <v>445</v>
      </c>
      <c r="E33" s="29" t="s">
        <v>208</v>
      </c>
      <c r="F33" s="29" t="s">
        <v>830</v>
      </c>
      <c r="G33" s="29" t="s">
        <v>136</v>
      </c>
      <c r="H33" s="29" t="s">
        <v>544</v>
      </c>
      <c r="I33" s="35" t="s">
        <v>838</v>
      </c>
      <c r="J33" s="23"/>
    </row>
    <row r="34" spans="1:10" ht="39" customHeight="1">
      <c r="A34" s="28">
        <v>128067</v>
      </c>
      <c r="B34" s="29" t="s">
        <v>36</v>
      </c>
      <c r="C34" s="29" t="s">
        <v>25</v>
      </c>
      <c r="D34" s="29" t="s">
        <v>252</v>
      </c>
      <c r="E34" s="29" t="s">
        <v>210</v>
      </c>
      <c r="F34" s="29" t="s">
        <v>735</v>
      </c>
      <c r="G34" s="29" t="s">
        <v>136</v>
      </c>
      <c r="H34" s="29" t="s">
        <v>540</v>
      </c>
      <c r="I34" s="35" t="s">
        <v>839</v>
      </c>
      <c r="J34" s="23"/>
    </row>
    <row r="35" spans="1:10" ht="39" customHeight="1">
      <c r="A35" s="28">
        <v>132800</v>
      </c>
      <c r="B35" s="29" t="s">
        <v>89</v>
      </c>
      <c r="C35" s="29" t="s">
        <v>90</v>
      </c>
      <c r="D35" s="29" t="s">
        <v>306</v>
      </c>
      <c r="E35" s="29" t="s">
        <v>210</v>
      </c>
      <c r="F35" s="29" t="s">
        <v>736</v>
      </c>
      <c r="G35" s="29" t="s">
        <v>136</v>
      </c>
      <c r="H35" s="29" t="s">
        <v>540</v>
      </c>
      <c r="I35" s="35" t="s">
        <v>839</v>
      </c>
      <c r="J35" s="24"/>
    </row>
    <row r="36" spans="1:10" ht="39" customHeight="1">
      <c r="A36" s="28">
        <v>133063</v>
      </c>
      <c r="B36" s="29" t="s">
        <v>91</v>
      </c>
      <c r="C36" s="29" t="s">
        <v>92</v>
      </c>
      <c r="D36" s="33" t="s">
        <v>308</v>
      </c>
      <c r="E36" s="29" t="s">
        <v>210</v>
      </c>
      <c r="F36" s="29" t="s">
        <v>309</v>
      </c>
      <c r="G36" s="29" t="s">
        <v>11</v>
      </c>
      <c r="H36" s="29" t="s">
        <v>531</v>
      </c>
      <c r="I36" s="35" t="s">
        <v>839</v>
      </c>
      <c r="J36" s="23"/>
    </row>
    <row r="37" spans="1:10" ht="39" customHeight="1">
      <c r="A37" s="28">
        <v>138412</v>
      </c>
      <c r="B37" s="29" t="s">
        <v>122</v>
      </c>
      <c r="C37" s="29" t="s">
        <v>90</v>
      </c>
      <c r="D37" s="29" t="s">
        <v>353</v>
      </c>
      <c r="E37" s="29" t="s">
        <v>210</v>
      </c>
      <c r="F37" s="29" t="s">
        <v>737</v>
      </c>
      <c r="G37" s="29" t="s">
        <v>136</v>
      </c>
      <c r="H37" s="29" t="s">
        <v>544</v>
      </c>
      <c r="I37" s="35" t="s">
        <v>839</v>
      </c>
      <c r="J37" s="23"/>
    </row>
    <row r="38" spans="1:10" ht="39" customHeight="1">
      <c r="A38" s="28">
        <v>141283</v>
      </c>
      <c r="B38" s="29" t="s">
        <v>151</v>
      </c>
      <c r="C38" s="29" t="s">
        <v>152</v>
      </c>
      <c r="D38" s="29" t="s">
        <v>377</v>
      </c>
      <c r="E38" s="29" t="s">
        <v>210</v>
      </c>
      <c r="F38" s="29" t="s">
        <v>738</v>
      </c>
      <c r="G38" s="29" t="s">
        <v>136</v>
      </c>
      <c r="H38" s="29" t="s">
        <v>544</v>
      </c>
      <c r="I38" s="35" t="s">
        <v>839</v>
      </c>
      <c r="J38" s="24"/>
    </row>
    <row r="39" spans="1:10" ht="39" customHeight="1">
      <c r="A39" s="28">
        <v>141375</v>
      </c>
      <c r="B39" s="29" t="s">
        <v>153</v>
      </c>
      <c r="C39" s="29" t="s">
        <v>63</v>
      </c>
      <c r="D39" s="29" t="s">
        <v>378</v>
      </c>
      <c r="E39" s="29" t="s">
        <v>210</v>
      </c>
      <c r="F39" s="29" t="s">
        <v>739</v>
      </c>
      <c r="G39" s="29" t="s">
        <v>136</v>
      </c>
      <c r="H39" s="29" t="s">
        <v>544</v>
      </c>
      <c r="I39" s="35" t="s">
        <v>839</v>
      </c>
      <c r="J39" s="23"/>
    </row>
    <row r="40" spans="1:10" ht="39" customHeight="1">
      <c r="A40" s="28">
        <v>117026</v>
      </c>
      <c r="B40" s="29" t="s">
        <v>17</v>
      </c>
      <c r="C40" s="29" t="s">
        <v>18</v>
      </c>
      <c r="D40" s="29" t="s">
        <v>225</v>
      </c>
      <c r="E40" s="29" t="s">
        <v>210</v>
      </c>
      <c r="F40" s="29" t="s">
        <v>740</v>
      </c>
      <c r="G40" s="29" t="s">
        <v>136</v>
      </c>
      <c r="H40" s="29" t="s">
        <v>531</v>
      </c>
      <c r="I40" s="35" t="s">
        <v>840</v>
      </c>
      <c r="J40" s="23"/>
    </row>
    <row r="41" spans="1:10" ht="39" customHeight="1">
      <c r="A41" s="28">
        <v>124653</v>
      </c>
      <c r="B41" s="29" t="s">
        <v>31</v>
      </c>
      <c r="C41" s="29" t="s">
        <v>25</v>
      </c>
      <c r="D41" s="29" t="s">
        <v>741</v>
      </c>
      <c r="E41" s="29" t="s">
        <v>210</v>
      </c>
      <c r="F41" s="29" t="s">
        <v>244</v>
      </c>
      <c r="G41" s="29" t="s">
        <v>137</v>
      </c>
      <c r="H41" s="29" t="s">
        <v>531</v>
      </c>
      <c r="I41" s="35" t="s">
        <v>840</v>
      </c>
      <c r="J41" s="23"/>
    </row>
    <row r="42" spans="1:10" ht="39" customHeight="1">
      <c r="A42" s="28">
        <v>128072</v>
      </c>
      <c r="B42" s="29" t="s">
        <v>37</v>
      </c>
      <c r="C42" s="29" t="s">
        <v>38</v>
      </c>
      <c r="D42" s="29" t="s">
        <v>253</v>
      </c>
      <c r="E42" s="29" t="s">
        <v>210</v>
      </c>
      <c r="F42" s="29" t="s">
        <v>742</v>
      </c>
      <c r="G42" s="29" t="s">
        <v>136</v>
      </c>
      <c r="H42" s="29" t="s">
        <v>531</v>
      </c>
      <c r="I42" s="35" t="s">
        <v>840</v>
      </c>
      <c r="J42" s="24"/>
    </row>
    <row r="43" spans="1:10" ht="39" customHeight="1">
      <c r="A43" s="28">
        <v>128944</v>
      </c>
      <c r="B43" s="29" t="s">
        <v>44</v>
      </c>
      <c r="C43" s="29" t="s">
        <v>38</v>
      </c>
      <c r="D43" s="29" t="s">
        <v>260</v>
      </c>
      <c r="E43" s="29" t="s">
        <v>210</v>
      </c>
      <c r="F43" s="29" t="s">
        <v>743</v>
      </c>
      <c r="G43" s="29" t="s">
        <v>136</v>
      </c>
      <c r="H43" s="29" t="s">
        <v>531</v>
      </c>
      <c r="I43" s="35" t="s">
        <v>840</v>
      </c>
      <c r="J43" s="24"/>
    </row>
    <row r="44" spans="1:10" ht="39" customHeight="1">
      <c r="A44" s="28">
        <v>125078</v>
      </c>
      <c r="B44" s="29" t="s">
        <v>32</v>
      </c>
      <c r="C44" s="29" t="s">
        <v>33</v>
      </c>
      <c r="D44" s="29" t="s">
        <v>245</v>
      </c>
      <c r="E44" s="29" t="s">
        <v>210</v>
      </c>
      <c r="F44" s="29" t="s">
        <v>814</v>
      </c>
      <c r="G44" s="29" t="s">
        <v>136</v>
      </c>
      <c r="H44" s="29" t="s">
        <v>533</v>
      </c>
      <c r="I44" s="35" t="s">
        <v>841</v>
      </c>
      <c r="J44" s="23"/>
    </row>
    <row r="45" spans="1:10" ht="39" customHeight="1">
      <c r="A45" s="28">
        <v>132222</v>
      </c>
      <c r="B45" s="29" t="s">
        <v>74</v>
      </c>
      <c r="C45" s="29" t="s">
        <v>75</v>
      </c>
      <c r="D45" s="29" t="s">
        <v>294</v>
      </c>
      <c r="E45" s="29" t="s">
        <v>210</v>
      </c>
      <c r="F45" s="29" t="s">
        <v>744</v>
      </c>
      <c r="G45" s="29" t="s">
        <v>136</v>
      </c>
      <c r="H45" s="29" t="s">
        <v>539</v>
      </c>
      <c r="I45" s="35" t="s">
        <v>841</v>
      </c>
      <c r="J45" s="24"/>
    </row>
    <row r="46" spans="1:10" ht="39" customHeight="1">
      <c r="A46" s="28">
        <v>138077</v>
      </c>
      <c r="B46" s="29" t="s">
        <v>115</v>
      </c>
      <c r="C46" s="29" t="s">
        <v>80</v>
      </c>
      <c r="D46" s="29" t="s">
        <v>347</v>
      </c>
      <c r="E46" s="29" t="s">
        <v>210</v>
      </c>
      <c r="F46" s="29" t="s">
        <v>745</v>
      </c>
      <c r="G46" s="29" t="s">
        <v>11</v>
      </c>
      <c r="H46" s="29" t="s">
        <v>539</v>
      </c>
      <c r="I46" s="35" t="s">
        <v>841</v>
      </c>
      <c r="J46" s="23"/>
    </row>
    <row r="47" spans="1:10" ht="39" customHeight="1">
      <c r="A47" s="28">
        <v>144957</v>
      </c>
      <c r="B47" s="29" t="s">
        <v>168</v>
      </c>
      <c r="C47" s="29" t="s">
        <v>169</v>
      </c>
      <c r="D47" s="29" t="s">
        <v>396</v>
      </c>
      <c r="E47" s="29" t="s">
        <v>210</v>
      </c>
      <c r="F47" s="29" t="s">
        <v>690</v>
      </c>
      <c r="G47" s="29" t="s">
        <v>11</v>
      </c>
      <c r="H47" s="29" t="s">
        <v>533</v>
      </c>
      <c r="I47" s="35" t="s">
        <v>841</v>
      </c>
      <c r="J47" s="24"/>
    </row>
    <row r="48" spans="1:10" ht="39" customHeight="1">
      <c r="A48" s="28">
        <v>145277</v>
      </c>
      <c r="B48" s="29" t="s">
        <v>170</v>
      </c>
      <c r="C48" s="29" t="s">
        <v>746</v>
      </c>
      <c r="D48" s="29" t="s">
        <v>397</v>
      </c>
      <c r="E48" s="29" t="s">
        <v>210</v>
      </c>
      <c r="F48" s="29" t="s">
        <v>747</v>
      </c>
      <c r="G48" s="29" t="s">
        <v>136</v>
      </c>
      <c r="H48" s="29" t="s">
        <v>539</v>
      </c>
      <c r="I48" s="35" t="s">
        <v>841</v>
      </c>
      <c r="J48" s="23"/>
    </row>
    <row r="49" spans="1:10" ht="39" customHeight="1">
      <c r="A49" s="28">
        <v>149509</v>
      </c>
      <c r="B49" s="29" t="s">
        <v>179</v>
      </c>
      <c r="C49" s="29" t="s">
        <v>42</v>
      </c>
      <c r="D49" s="29" t="s">
        <v>416</v>
      </c>
      <c r="E49" s="29" t="s">
        <v>210</v>
      </c>
      <c r="F49" s="29" t="s">
        <v>748</v>
      </c>
      <c r="G49" s="29" t="s">
        <v>136</v>
      </c>
      <c r="H49" s="29" t="s">
        <v>534</v>
      </c>
      <c r="I49" s="35" t="s">
        <v>841</v>
      </c>
      <c r="J49" s="23"/>
    </row>
    <row r="50" spans="1:10" ht="39" customHeight="1">
      <c r="A50" s="28">
        <v>149840</v>
      </c>
      <c r="B50" s="29" t="s">
        <v>180</v>
      </c>
      <c r="C50" s="29" t="s">
        <v>181</v>
      </c>
      <c r="D50" s="29" t="s">
        <v>417</v>
      </c>
      <c r="E50" s="29" t="s">
        <v>208</v>
      </c>
      <c r="F50" s="29" t="s">
        <v>418</v>
      </c>
      <c r="G50" s="29" t="s">
        <v>11</v>
      </c>
      <c r="H50" s="29" t="s">
        <v>534</v>
      </c>
      <c r="I50" s="35" t="s">
        <v>841</v>
      </c>
      <c r="J50" s="23"/>
    </row>
    <row r="51" spans="1:10" ht="39" customHeight="1">
      <c r="A51" s="28">
        <v>156720</v>
      </c>
      <c r="B51" s="29" t="s">
        <v>202</v>
      </c>
      <c r="C51" s="29" t="s">
        <v>30</v>
      </c>
      <c r="D51" s="29" t="s">
        <v>450</v>
      </c>
      <c r="E51" s="29" t="s">
        <v>210</v>
      </c>
      <c r="F51" s="29" t="s">
        <v>819</v>
      </c>
      <c r="G51" s="29" t="s">
        <v>136</v>
      </c>
      <c r="H51" s="29" t="s">
        <v>602</v>
      </c>
      <c r="I51" s="35" t="s">
        <v>841</v>
      </c>
      <c r="J51" s="24" t="s">
        <v>696</v>
      </c>
    </row>
    <row r="52" spans="1:10" ht="39" customHeight="1">
      <c r="A52" s="28">
        <v>105929</v>
      </c>
      <c r="B52" s="29" t="s">
        <v>7</v>
      </c>
      <c r="C52" s="29" t="s">
        <v>8</v>
      </c>
      <c r="D52" s="29" t="s">
        <v>692</v>
      </c>
      <c r="E52" s="29" t="s">
        <v>208</v>
      </c>
      <c r="F52" s="29" t="s">
        <v>754</v>
      </c>
      <c r="G52" s="29" t="s">
        <v>11</v>
      </c>
      <c r="H52" s="29" t="s">
        <v>617</v>
      </c>
      <c r="I52" s="35" t="s">
        <v>842</v>
      </c>
      <c r="J52" s="23"/>
    </row>
    <row r="53" spans="1:10" ht="39" customHeight="1">
      <c r="A53" s="28">
        <v>115520</v>
      </c>
      <c r="B53" s="29" t="s">
        <v>14</v>
      </c>
      <c r="C53" s="29" t="s">
        <v>15</v>
      </c>
      <c r="D53" s="29" t="s">
        <v>222</v>
      </c>
      <c r="E53" s="31" t="s">
        <v>208</v>
      </c>
      <c r="F53" s="29" t="s">
        <v>691</v>
      </c>
      <c r="G53" s="29" t="s">
        <v>136</v>
      </c>
      <c r="H53" s="29" t="s">
        <v>617</v>
      </c>
      <c r="I53" s="35" t="s">
        <v>842</v>
      </c>
      <c r="J53" s="23"/>
    </row>
    <row r="54" spans="1:10" ht="39" customHeight="1">
      <c r="A54" s="32">
        <v>130559</v>
      </c>
      <c r="B54" s="29" t="s">
        <v>60</v>
      </c>
      <c r="C54" s="29" t="s">
        <v>61</v>
      </c>
      <c r="D54" s="29" t="s">
        <v>275</v>
      </c>
      <c r="E54" s="29" t="s">
        <v>208</v>
      </c>
      <c r="F54" s="29" t="s">
        <v>749</v>
      </c>
      <c r="G54" s="29" t="s">
        <v>136</v>
      </c>
      <c r="H54" s="29" t="s">
        <v>617</v>
      </c>
      <c r="I54" s="35" t="s">
        <v>842</v>
      </c>
      <c r="J54" s="23"/>
    </row>
    <row r="55" spans="1:10" ht="39" customHeight="1">
      <c r="A55" s="28">
        <v>131154</v>
      </c>
      <c r="B55" s="29" t="s">
        <v>69</v>
      </c>
      <c r="C55" s="29" t="s">
        <v>70</v>
      </c>
      <c r="D55" s="29" t="s">
        <v>753</v>
      </c>
      <c r="E55" s="29" t="s">
        <v>206</v>
      </c>
      <c r="F55" s="29" t="s">
        <v>286</v>
      </c>
      <c r="G55" s="29" t="s">
        <v>136</v>
      </c>
      <c r="H55" s="29" t="s">
        <v>583</v>
      </c>
      <c r="I55" s="35" t="s">
        <v>842</v>
      </c>
      <c r="J55" s="23"/>
    </row>
    <row r="56" spans="1:10" ht="39" customHeight="1">
      <c r="A56" s="28">
        <v>134608</v>
      </c>
      <c r="B56" s="29" t="s">
        <v>98</v>
      </c>
      <c r="C56" s="29" t="s">
        <v>99</v>
      </c>
      <c r="D56" s="29" t="s">
        <v>321</v>
      </c>
      <c r="E56" s="31" t="s">
        <v>208</v>
      </c>
      <c r="F56" s="29" t="s">
        <v>750</v>
      </c>
      <c r="G56" s="29" t="s">
        <v>136</v>
      </c>
      <c r="H56" s="29" t="s">
        <v>617</v>
      </c>
      <c r="I56" s="35" t="s">
        <v>842</v>
      </c>
      <c r="J56" s="23"/>
    </row>
    <row r="57" spans="1:10" ht="39" customHeight="1">
      <c r="A57" s="28">
        <v>139183</v>
      </c>
      <c r="B57" s="29" t="s">
        <v>128</v>
      </c>
      <c r="C57" s="29" t="s">
        <v>40</v>
      </c>
      <c r="D57" s="29" t="s">
        <v>358</v>
      </c>
      <c r="E57" s="29" t="s">
        <v>208</v>
      </c>
      <c r="F57" s="29" t="s">
        <v>755</v>
      </c>
      <c r="G57" s="29" t="s">
        <v>136</v>
      </c>
      <c r="H57" s="29" t="s">
        <v>617</v>
      </c>
      <c r="I57" s="35" t="s">
        <v>842</v>
      </c>
      <c r="J57" s="23"/>
    </row>
    <row r="58" spans="1:10" ht="39" customHeight="1">
      <c r="A58" s="28">
        <v>147776</v>
      </c>
      <c r="B58" s="29" t="s">
        <v>174</v>
      </c>
      <c r="C58" s="29" t="s">
        <v>751</v>
      </c>
      <c r="D58" s="29" t="s">
        <v>406</v>
      </c>
      <c r="E58" s="31" t="s">
        <v>208</v>
      </c>
      <c r="F58" s="29" t="s">
        <v>752</v>
      </c>
      <c r="G58" s="29" t="s">
        <v>136</v>
      </c>
      <c r="H58" s="29" t="s">
        <v>617</v>
      </c>
      <c r="I58" s="35" t="s">
        <v>842</v>
      </c>
      <c r="J58" s="23"/>
    </row>
    <row r="59" spans="1:10" ht="39" customHeight="1">
      <c r="A59" s="28">
        <v>132362</v>
      </c>
      <c r="B59" s="29" t="s">
        <v>78</v>
      </c>
      <c r="C59" s="29" t="s">
        <v>25</v>
      </c>
      <c r="D59" s="29" t="s">
        <v>296</v>
      </c>
      <c r="E59" s="29" t="s">
        <v>208</v>
      </c>
      <c r="F59" s="29" t="s">
        <v>693</v>
      </c>
      <c r="G59" s="29" t="s">
        <v>136</v>
      </c>
      <c r="H59" s="29" t="s">
        <v>617</v>
      </c>
      <c r="I59" s="35" t="s">
        <v>843</v>
      </c>
      <c r="J59" s="23"/>
    </row>
    <row r="60" spans="1:10" ht="39" customHeight="1">
      <c r="A60" s="28">
        <v>132551</v>
      </c>
      <c r="B60" s="29" t="s">
        <v>81</v>
      </c>
      <c r="C60" s="29" t="s">
        <v>82</v>
      </c>
      <c r="D60" s="29" t="s">
        <v>299</v>
      </c>
      <c r="E60" s="31" t="s">
        <v>208</v>
      </c>
      <c r="F60" s="29" t="s">
        <v>756</v>
      </c>
      <c r="G60" s="29" t="s">
        <v>11</v>
      </c>
      <c r="H60" s="29" t="s">
        <v>617</v>
      </c>
      <c r="I60" s="35" t="s">
        <v>843</v>
      </c>
      <c r="J60" s="23"/>
    </row>
    <row r="61" spans="1:10" ht="39" customHeight="1">
      <c r="A61" s="28">
        <v>153605</v>
      </c>
      <c r="B61" s="29" t="s">
        <v>194</v>
      </c>
      <c r="C61" s="29" t="s">
        <v>77</v>
      </c>
      <c r="D61" s="29" t="s">
        <v>436</v>
      </c>
      <c r="E61" s="29" t="s">
        <v>208</v>
      </c>
      <c r="F61" s="29" t="s">
        <v>757</v>
      </c>
      <c r="G61" s="29" t="s">
        <v>136</v>
      </c>
      <c r="H61" s="29" t="s">
        <v>617</v>
      </c>
      <c r="I61" s="35" t="s">
        <v>843</v>
      </c>
      <c r="J61" s="23"/>
    </row>
    <row r="62" spans="1:10" ht="39" customHeight="1">
      <c r="A62" s="28">
        <v>134731</v>
      </c>
      <c r="B62" s="29" t="s">
        <v>100</v>
      </c>
      <c r="C62" s="29" t="s">
        <v>5</v>
      </c>
      <c r="D62" s="29" t="s">
        <v>322</v>
      </c>
      <c r="E62" s="29" t="s">
        <v>208</v>
      </c>
      <c r="F62" s="29" t="s">
        <v>761</v>
      </c>
      <c r="G62" s="29" t="s">
        <v>136</v>
      </c>
      <c r="H62" s="29" t="s">
        <v>583</v>
      </c>
      <c r="I62" s="35" t="s">
        <v>844</v>
      </c>
      <c r="J62" s="23"/>
    </row>
    <row r="63" spans="1:10" ht="39" customHeight="1">
      <c r="A63" s="32">
        <v>136814</v>
      </c>
      <c r="B63" s="29" t="s">
        <v>107</v>
      </c>
      <c r="C63" s="29" t="s">
        <v>108</v>
      </c>
      <c r="D63" s="29" t="s">
        <v>341</v>
      </c>
      <c r="E63" s="31" t="s">
        <v>208</v>
      </c>
      <c r="F63" s="29" t="s">
        <v>762</v>
      </c>
      <c r="G63" s="29" t="s">
        <v>136</v>
      </c>
      <c r="H63" s="29" t="s">
        <v>583</v>
      </c>
      <c r="I63" s="35" t="s">
        <v>844</v>
      </c>
      <c r="J63" s="23"/>
    </row>
    <row r="64" spans="1:10" ht="39" customHeight="1">
      <c r="A64" s="28">
        <v>137456</v>
      </c>
      <c r="B64" s="29" t="s">
        <v>111</v>
      </c>
      <c r="C64" s="29" t="s">
        <v>112</v>
      </c>
      <c r="D64" s="29" t="s">
        <v>344</v>
      </c>
      <c r="E64" s="31" t="s">
        <v>208</v>
      </c>
      <c r="F64" s="29" t="s">
        <v>763</v>
      </c>
      <c r="G64" s="29" t="s">
        <v>136</v>
      </c>
      <c r="H64" s="29" t="s">
        <v>583</v>
      </c>
      <c r="I64" s="35" t="s">
        <v>844</v>
      </c>
      <c r="J64" s="23"/>
    </row>
    <row r="65" spans="1:10" ht="39" customHeight="1">
      <c r="A65" s="28">
        <v>138112</v>
      </c>
      <c r="B65" s="29" t="s">
        <v>116</v>
      </c>
      <c r="C65" s="29" t="s">
        <v>108</v>
      </c>
      <c r="D65" s="29" t="s">
        <v>348</v>
      </c>
      <c r="E65" s="29" t="s">
        <v>206</v>
      </c>
      <c r="F65" s="29" t="s">
        <v>764</v>
      </c>
      <c r="G65" s="29" t="s">
        <v>11</v>
      </c>
      <c r="H65" s="29" t="s">
        <v>583</v>
      </c>
      <c r="I65" s="35" t="s">
        <v>844</v>
      </c>
      <c r="J65" s="23"/>
    </row>
    <row r="66" spans="1:10" ht="39" customHeight="1">
      <c r="A66" s="28">
        <v>141514</v>
      </c>
      <c r="B66" s="29" t="s">
        <v>100</v>
      </c>
      <c r="C66" s="29" t="s">
        <v>5</v>
      </c>
      <c r="D66" s="29" t="s">
        <v>380</v>
      </c>
      <c r="E66" s="29" t="s">
        <v>210</v>
      </c>
      <c r="F66" s="29" t="s">
        <v>760</v>
      </c>
      <c r="G66" s="29" t="s">
        <v>136</v>
      </c>
      <c r="H66" s="29" t="s">
        <v>583</v>
      </c>
      <c r="I66" s="35" t="s">
        <v>844</v>
      </c>
      <c r="J66" s="23"/>
    </row>
    <row r="67" spans="1:10" ht="39" customHeight="1">
      <c r="A67" s="28">
        <v>101154</v>
      </c>
      <c r="B67" s="29" t="s">
        <v>2</v>
      </c>
      <c r="C67" s="29" t="s">
        <v>3</v>
      </c>
      <c r="D67" s="29" t="s">
        <v>205</v>
      </c>
      <c r="E67" s="29" t="s">
        <v>206</v>
      </c>
      <c r="F67" s="29" t="s">
        <v>800</v>
      </c>
      <c r="G67" s="29" t="s">
        <v>11</v>
      </c>
      <c r="H67" s="29" t="s">
        <v>643</v>
      </c>
      <c r="I67" s="35" t="s">
        <v>845</v>
      </c>
      <c r="J67" s="23"/>
    </row>
    <row r="68" spans="1:10" ht="39" customHeight="1">
      <c r="A68" s="28">
        <v>121966</v>
      </c>
      <c r="B68" s="29" t="s">
        <v>26</v>
      </c>
      <c r="C68" s="29" t="s">
        <v>801</v>
      </c>
      <c r="D68" s="29" t="s">
        <v>237</v>
      </c>
      <c r="E68" s="29" t="s">
        <v>206</v>
      </c>
      <c r="F68" s="29" t="s">
        <v>802</v>
      </c>
      <c r="G68" s="29" t="s">
        <v>136</v>
      </c>
      <c r="H68" s="29" t="s">
        <v>643</v>
      </c>
      <c r="I68" s="35" t="s">
        <v>845</v>
      </c>
      <c r="J68" s="23"/>
    </row>
    <row r="69" spans="1:10" ht="39" customHeight="1">
      <c r="A69" s="28">
        <v>123771</v>
      </c>
      <c r="B69" s="29" t="s">
        <v>27</v>
      </c>
      <c r="C69" s="29" t="s">
        <v>28</v>
      </c>
      <c r="D69" s="29" t="s">
        <v>241</v>
      </c>
      <c r="E69" s="29" t="s">
        <v>208</v>
      </c>
      <c r="F69" s="29" t="s">
        <v>759</v>
      </c>
      <c r="G69" s="29" t="s">
        <v>136</v>
      </c>
      <c r="H69" s="29" t="s">
        <v>617</v>
      </c>
      <c r="I69" s="35" t="s">
        <v>845</v>
      </c>
      <c r="J69" s="24" t="s">
        <v>698</v>
      </c>
    </row>
    <row r="70" spans="1:10" ht="39" customHeight="1">
      <c r="A70" s="28">
        <v>131150</v>
      </c>
      <c r="B70" s="29" t="s">
        <v>67</v>
      </c>
      <c r="C70" s="29" t="s">
        <v>68</v>
      </c>
      <c r="D70" s="29" t="s">
        <v>284</v>
      </c>
      <c r="E70" s="31" t="s">
        <v>204</v>
      </c>
      <c r="F70" s="29" t="s">
        <v>285</v>
      </c>
      <c r="G70" s="29" t="s">
        <v>11</v>
      </c>
      <c r="H70" s="29" t="s">
        <v>686</v>
      </c>
      <c r="I70" s="35" t="s">
        <v>845</v>
      </c>
      <c r="J70" s="24"/>
    </row>
    <row r="71" spans="1:10" ht="39" customHeight="1">
      <c r="A71" s="28">
        <v>131360</v>
      </c>
      <c r="B71" s="29" t="s">
        <v>71</v>
      </c>
      <c r="C71" s="29" t="s">
        <v>72</v>
      </c>
      <c r="D71" s="29" t="s">
        <v>289</v>
      </c>
      <c r="E71" s="29" t="s">
        <v>208</v>
      </c>
      <c r="F71" s="29" t="s">
        <v>822</v>
      </c>
      <c r="G71" s="29" t="s">
        <v>11</v>
      </c>
      <c r="H71" s="29"/>
      <c r="I71" s="35" t="s">
        <v>845</v>
      </c>
      <c r="J71" s="23"/>
    </row>
    <row r="72" spans="1:10" ht="39" customHeight="1">
      <c r="A72" s="32">
        <v>132165</v>
      </c>
      <c r="B72" s="29" t="s">
        <v>73</v>
      </c>
      <c r="C72" s="29" t="s">
        <v>42</v>
      </c>
      <c r="D72" s="29" t="s">
        <v>293</v>
      </c>
      <c r="E72" s="29" t="s">
        <v>206</v>
      </c>
      <c r="F72" s="29" t="s">
        <v>803</v>
      </c>
      <c r="G72" s="29" t="s">
        <v>136</v>
      </c>
      <c r="H72" s="29" t="s">
        <v>643</v>
      </c>
      <c r="I72" s="35" t="s">
        <v>845</v>
      </c>
      <c r="J72" s="23"/>
    </row>
    <row r="73" spans="1:10" ht="39" customHeight="1">
      <c r="A73" s="28">
        <v>142357</v>
      </c>
      <c r="B73" s="29" t="s">
        <v>160</v>
      </c>
      <c r="C73" s="29" t="s">
        <v>63</v>
      </c>
      <c r="D73" s="29" t="s">
        <v>388</v>
      </c>
      <c r="E73" s="29" t="s">
        <v>206</v>
      </c>
      <c r="F73" s="29" t="s">
        <v>804</v>
      </c>
      <c r="G73" s="29" t="s">
        <v>11</v>
      </c>
      <c r="H73" s="29" t="s">
        <v>643</v>
      </c>
      <c r="I73" s="35" t="s">
        <v>845</v>
      </c>
      <c r="J73" s="23"/>
    </row>
    <row r="74" spans="1:10" ht="39" customHeight="1">
      <c r="A74" s="28">
        <v>143425</v>
      </c>
      <c r="B74" s="29" t="s">
        <v>161</v>
      </c>
      <c r="C74" s="29" t="s">
        <v>25</v>
      </c>
      <c r="D74" s="29" t="s">
        <v>389</v>
      </c>
      <c r="E74" s="29" t="s">
        <v>206</v>
      </c>
      <c r="F74" s="29" t="s">
        <v>805</v>
      </c>
      <c r="G74" s="29" t="s">
        <v>11</v>
      </c>
      <c r="H74" s="29" t="s">
        <v>643</v>
      </c>
      <c r="I74" s="35" t="s">
        <v>845</v>
      </c>
      <c r="J74" s="23"/>
    </row>
    <row r="75" spans="1:10" ht="39" customHeight="1">
      <c r="A75" s="28">
        <v>155057</v>
      </c>
      <c r="B75" s="29" t="s">
        <v>197</v>
      </c>
      <c r="C75" s="29" t="s">
        <v>198</v>
      </c>
      <c r="D75" s="29" t="s">
        <v>443</v>
      </c>
      <c r="E75" s="29" t="s">
        <v>206</v>
      </c>
      <c r="F75" s="29" t="s">
        <v>806</v>
      </c>
      <c r="G75" s="29" t="s">
        <v>136</v>
      </c>
      <c r="H75" s="29" t="s">
        <v>643</v>
      </c>
      <c r="I75" s="35" t="s">
        <v>845</v>
      </c>
      <c r="J75" s="23"/>
    </row>
    <row r="76" spans="1:10" ht="39" customHeight="1">
      <c r="A76" s="28">
        <v>127173</v>
      </c>
      <c r="B76" s="29" t="s">
        <v>34</v>
      </c>
      <c r="C76" s="29" t="s">
        <v>765</v>
      </c>
      <c r="D76" s="29" t="s">
        <v>248</v>
      </c>
      <c r="E76" s="29" t="s">
        <v>206</v>
      </c>
      <c r="F76" s="29" t="s">
        <v>784</v>
      </c>
      <c r="G76" s="29" t="s">
        <v>11</v>
      </c>
      <c r="H76" s="29" t="s">
        <v>565</v>
      </c>
      <c r="I76" s="35" t="s">
        <v>846</v>
      </c>
      <c r="J76" s="23"/>
    </row>
    <row r="77" spans="1:10" ht="39" customHeight="1">
      <c r="A77" s="28">
        <v>129362</v>
      </c>
      <c r="B77" s="29" t="s">
        <v>49</v>
      </c>
      <c r="C77" s="29" t="s">
        <v>785</v>
      </c>
      <c r="D77" s="29" t="s">
        <v>263</v>
      </c>
      <c r="E77" s="29" t="s">
        <v>206</v>
      </c>
      <c r="F77" s="29" t="s">
        <v>786</v>
      </c>
      <c r="G77" s="29" t="s">
        <v>11</v>
      </c>
      <c r="H77" s="29" t="s">
        <v>565</v>
      </c>
      <c r="I77" s="35" t="s">
        <v>846</v>
      </c>
      <c r="J77" s="23"/>
    </row>
    <row r="78" spans="1:10" ht="39" customHeight="1">
      <c r="A78" s="28">
        <v>134844</v>
      </c>
      <c r="B78" s="29" t="s">
        <v>103</v>
      </c>
      <c r="C78" s="29" t="s">
        <v>104</v>
      </c>
      <c r="D78" s="29" t="s">
        <v>325</v>
      </c>
      <c r="E78" s="29" t="s">
        <v>206</v>
      </c>
      <c r="F78" s="29" t="s">
        <v>787</v>
      </c>
      <c r="G78" s="29" t="s">
        <v>136</v>
      </c>
      <c r="H78" s="29" t="s">
        <v>565</v>
      </c>
      <c r="I78" s="35" t="s">
        <v>846</v>
      </c>
      <c r="J78" s="23"/>
    </row>
    <row r="79" spans="1:10" ht="39" customHeight="1">
      <c r="A79" s="28">
        <v>138157</v>
      </c>
      <c r="B79" s="29" t="s">
        <v>117</v>
      </c>
      <c r="C79" s="29" t="s">
        <v>118</v>
      </c>
      <c r="D79" s="29" t="s">
        <v>788</v>
      </c>
      <c r="E79" s="29" t="s">
        <v>206</v>
      </c>
      <c r="F79" s="29" t="s">
        <v>349</v>
      </c>
      <c r="G79" s="29" t="s">
        <v>136</v>
      </c>
      <c r="H79" s="29" t="s">
        <v>565</v>
      </c>
      <c r="I79" s="35" t="s">
        <v>846</v>
      </c>
      <c r="J79" s="24"/>
    </row>
    <row r="80" spans="1:10" ht="39" customHeight="1">
      <c r="A80" s="28">
        <v>138489</v>
      </c>
      <c r="B80" s="29" t="s">
        <v>123</v>
      </c>
      <c r="C80" s="29" t="s">
        <v>124</v>
      </c>
      <c r="D80" s="29" t="s">
        <v>354</v>
      </c>
      <c r="E80" s="29" t="s">
        <v>206</v>
      </c>
      <c r="F80" s="29" t="s">
        <v>789</v>
      </c>
      <c r="G80" s="29" t="s">
        <v>136</v>
      </c>
      <c r="H80" s="29" t="s">
        <v>565</v>
      </c>
      <c r="I80" s="35" t="s">
        <v>846</v>
      </c>
      <c r="J80" s="23"/>
    </row>
    <row r="81" spans="1:10" ht="39" customHeight="1">
      <c r="A81" s="28">
        <v>141046</v>
      </c>
      <c r="B81" s="29" t="s">
        <v>142</v>
      </c>
      <c r="C81" s="29" t="s">
        <v>143</v>
      </c>
      <c r="D81" s="29" t="s">
        <v>372</v>
      </c>
      <c r="E81" s="29" t="s">
        <v>206</v>
      </c>
      <c r="F81" s="29" t="s">
        <v>790</v>
      </c>
      <c r="G81" s="29" t="s">
        <v>136</v>
      </c>
      <c r="H81" s="29" t="s">
        <v>565</v>
      </c>
      <c r="I81" s="35" t="s">
        <v>846</v>
      </c>
      <c r="J81" s="23"/>
    </row>
    <row r="82" spans="1:10" ht="39" customHeight="1">
      <c r="A82" s="28">
        <v>150711</v>
      </c>
      <c r="B82" s="29" t="s">
        <v>185</v>
      </c>
      <c r="C82" s="29" t="s">
        <v>118</v>
      </c>
      <c r="D82" s="29" t="s">
        <v>425</v>
      </c>
      <c r="E82" s="29" t="s">
        <v>206</v>
      </c>
      <c r="F82" s="29" t="s">
        <v>426</v>
      </c>
      <c r="G82" s="29" t="s">
        <v>136</v>
      </c>
      <c r="H82" s="29" t="s">
        <v>681</v>
      </c>
      <c r="I82" s="35" t="s">
        <v>846</v>
      </c>
      <c r="J82" s="23"/>
    </row>
    <row r="83" spans="1:10" ht="39" customHeight="1">
      <c r="A83" s="28">
        <v>152162</v>
      </c>
      <c r="B83" s="29" t="s">
        <v>190</v>
      </c>
      <c r="C83" s="29" t="s">
        <v>191</v>
      </c>
      <c r="D83" s="29" t="s">
        <v>791</v>
      </c>
      <c r="E83" s="29" t="s">
        <v>206</v>
      </c>
      <c r="F83" s="29" t="s">
        <v>431</v>
      </c>
      <c r="G83" s="29" t="s">
        <v>136</v>
      </c>
      <c r="H83" s="29" t="s">
        <v>652</v>
      </c>
      <c r="I83" s="35" t="s">
        <v>846</v>
      </c>
      <c r="J83" s="23"/>
    </row>
    <row r="84" spans="1:10" ht="39" customHeight="1">
      <c r="A84" s="28">
        <v>121619</v>
      </c>
      <c r="B84" s="29" t="s">
        <v>22</v>
      </c>
      <c r="C84" s="29" t="s">
        <v>23</v>
      </c>
      <c r="D84" s="29" t="s">
        <v>235</v>
      </c>
      <c r="E84" s="29" t="s">
        <v>206</v>
      </c>
      <c r="F84" s="29" t="s">
        <v>792</v>
      </c>
      <c r="G84" s="29" t="s">
        <v>136</v>
      </c>
      <c r="H84" s="29"/>
      <c r="I84" s="35" t="s">
        <v>847</v>
      </c>
      <c r="J84" s="23"/>
    </row>
    <row r="85" spans="1:10" ht="39" customHeight="1">
      <c r="A85" s="28">
        <v>129673</v>
      </c>
      <c r="B85" s="29" t="s">
        <v>50</v>
      </c>
      <c r="C85" s="29" t="s">
        <v>30</v>
      </c>
      <c r="D85" s="29" t="s">
        <v>266</v>
      </c>
      <c r="E85" s="29" t="s">
        <v>206</v>
      </c>
      <c r="F85" s="29" t="s">
        <v>793</v>
      </c>
      <c r="G85" s="29" t="s">
        <v>136</v>
      </c>
      <c r="H85" s="29" t="s">
        <v>652</v>
      </c>
      <c r="I85" s="35" t="s">
        <v>847</v>
      </c>
      <c r="J85" s="23"/>
    </row>
    <row r="86" spans="1:10" ht="39" customHeight="1">
      <c r="A86" s="28">
        <v>129820</v>
      </c>
      <c r="B86" s="29" t="s">
        <v>52</v>
      </c>
      <c r="C86" s="29" t="s">
        <v>30</v>
      </c>
      <c r="D86" s="29" t="s">
        <v>268</v>
      </c>
      <c r="E86" s="29" t="s">
        <v>206</v>
      </c>
      <c r="F86" s="29" t="s">
        <v>794</v>
      </c>
      <c r="G86" s="29" t="s">
        <v>11</v>
      </c>
      <c r="H86" s="29"/>
      <c r="I86" s="35" t="s">
        <v>847</v>
      </c>
      <c r="J86" s="23"/>
    </row>
    <row r="87" spans="1:10" ht="39" customHeight="1">
      <c r="A87" s="28">
        <v>134820</v>
      </c>
      <c r="B87" s="29" t="s">
        <v>101</v>
      </c>
      <c r="C87" s="29" t="s">
        <v>102</v>
      </c>
      <c r="D87" s="29" t="s">
        <v>323</v>
      </c>
      <c r="E87" s="29" t="s">
        <v>206</v>
      </c>
      <c r="F87" s="29" t="s">
        <v>324</v>
      </c>
      <c r="G87" s="29" t="s">
        <v>136</v>
      </c>
      <c r="H87" s="29" t="s">
        <v>652</v>
      </c>
      <c r="I87" s="35" t="s">
        <v>847</v>
      </c>
      <c r="J87" s="23"/>
    </row>
    <row r="88" spans="1:10" ht="39" customHeight="1">
      <c r="A88" s="28">
        <v>141111</v>
      </c>
      <c r="B88" s="29" t="s">
        <v>144</v>
      </c>
      <c r="C88" s="29" t="s">
        <v>145</v>
      </c>
      <c r="D88" s="29" t="s">
        <v>373</v>
      </c>
      <c r="E88" s="29" t="s">
        <v>206</v>
      </c>
      <c r="F88" s="29" t="s">
        <v>795</v>
      </c>
      <c r="G88" s="29" t="s">
        <v>136</v>
      </c>
      <c r="H88" s="29" t="s">
        <v>652</v>
      </c>
      <c r="I88" s="35" t="s">
        <v>847</v>
      </c>
      <c r="J88" s="23"/>
    </row>
    <row r="89" spans="1:10" ht="39" customHeight="1">
      <c r="A89" s="28">
        <v>141669</v>
      </c>
      <c r="B89" s="29" t="s">
        <v>155</v>
      </c>
      <c r="C89" s="29" t="s">
        <v>796</v>
      </c>
      <c r="D89" s="29" t="s">
        <v>797</v>
      </c>
      <c r="E89" s="29" t="s">
        <v>206</v>
      </c>
      <c r="F89" s="29" t="s">
        <v>382</v>
      </c>
      <c r="G89" s="29" t="s">
        <v>11</v>
      </c>
      <c r="H89" s="29" t="s">
        <v>652</v>
      </c>
      <c r="I89" s="35" t="s">
        <v>847</v>
      </c>
      <c r="J89" s="23"/>
    </row>
    <row r="90" spans="1:10" ht="39" customHeight="1">
      <c r="A90" s="28">
        <v>154820</v>
      </c>
      <c r="B90" s="29" t="s">
        <v>196</v>
      </c>
      <c r="C90" s="29" t="s">
        <v>798</v>
      </c>
      <c r="D90" s="29" t="s">
        <v>442</v>
      </c>
      <c r="E90" s="29" t="s">
        <v>206</v>
      </c>
      <c r="F90" s="29" t="s">
        <v>799</v>
      </c>
      <c r="G90" s="29" t="s">
        <v>11</v>
      </c>
      <c r="H90" s="29" t="s">
        <v>602</v>
      </c>
      <c r="I90" s="35" t="s">
        <v>847</v>
      </c>
      <c r="J90" s="23"/>
    </row>
    <row r="91" spans="1:10" ht="39" customHeight="1">
      <c r="A91" s="28">
        <v>125652</v>
      </c>
      <c r="B91" s="29" t="s">
        <v>34</v>
      </c>
      <c r="C91" s="29" t="s">
        <v>765</v>
      </c>
      <c r="D91" s="29" t="s">
        <v>246</v>
      </c>
      <c r="E91" s="29" t="s">
        <v>204</v>
      </c>
      <c r="F91" s="29" t="s">
        <v>766</v>
      </c>
      <c r="G91" s="29" t="s">
        <v>137</v>
      </c>
      <c r="H91" s="29" t="s">
        <v>565</v>
      </c>
      <c r="I91" s="36" t="s">
        <v>848</v>
      </c>
      <c r="J91" s="23"/>
    </row>
    <row r="92" spans="1:10" ht="39" customHeight="1">
      <c r="A92" s="28">
        <v>128319</v>
      </c>
      <c r="B92" s="29" t="s">
        <v>41</v>
      </c>
      <c r="C92" s="29" t="s">
        <v>42</v>
      </c>
      <c r="D92" s="29" t="s">
        <v>257</v>
      </c>
      <c r="E92" s="29" t="s">
        <v>204</v>
      </c>
      <c r="F92" s="29" t="s">
        <v>767</v>
      </c>
      <c r="G92" s="29" t="s">
        <v>137</v>
      </c>
      <c r="H92" s="29" t="s">
        <v>565</v>
      </c>
      <c r="I92" s="36" t="s">
        <v>848</v>
      </c>
      <c r="J92" s="23"/>
    </row>
    <row r="93" spans="1:10" ht="39" customHeight="1">
      <c r="A93" s="32">
        <v>128954</v>
      </c>
      <c r="B93" s="29" t="s">
        <v>45</v>
      </c>
      <c r="C93" s="29" t="s">
        <v>46</v>
      </c>
      <c r="D93" s="29" t="s">
        <v>261</v>
      </c>
      <c r="E93" s="29" t="s">
        <v>208</v>
      </c>
      <c r="F93" s="29" t="s">
        <v>821</v>
      </c>
      <c r="G93" s="29" t="s">
        <v>137</v>
      </c>
      <c r="H93" s="29"/>
      <c r="I93" s="36" t="s">
        <v>848</v>
      </c>
      <c r="J93" s="23"/>
    </row>
    <row r="94" spans="1:10" ht="39" customHeight="1">
      <c r="A94" s="28">
        <v>130776</v>
      </c>
      <c r="B94" s="29" t="s">
        <v>64</v>
      </c>
      <c r="C94" s="29" t="s">
        <v>65</v>
      </c>
      <c r="D94" s="29" t="s">
        <v>278</v>
      </c>
      <c r="E94" s="29" t="s">
        <v>204</v>
      </c>
      <c r="F94" s="29" t="s">
        <v>768</v>
      </c>
      <c r="G94" s="29" t="s">
        <v>137</v>
      </c>
      <c r="H94" s="29" t="s">
        <v>565</v>
      </c>
      <c r="I94" s="36" t="s">
        <v>700</v>
      </c>
      <c r="J94" s="24"/>
    </row>
    <row r="95" spans="1:10" ht="39" customHeight="1">
      <c r="A95" s="28">
        <v>140464</v>
      </c>
      <c r="B95" s="29" t="s">
        <v>133</v>
      </c>
      <c r="C95" s="29" t="s">
        <v>42</v>
      </c>
      <c r="D95" s="29" t="s">
        <v>366</v>
      </c>
      <c r="E95" s="29" t="s">
        <v>204</v>
      </c>
      <c r="F95" s="29" t="s">
        <v>769</v>
      </c>
      <c r="G95" s="29" t="s">
        <v>11</v>
      </c>
      <c r="H95" s="29" t="s">
        <v>565</v>
      </c>
      <c r="I95" s="36" t="s">
        <v>700</v>
      </c>
      <c r="J95" s="23"/>
    </row>
    <row r="96" spans="1:10" ht="39" customHeight="1">
      <c r="A96" s="28">
        <v>149406</v>
      </c>
      <c r="B96" s="29" t="s">
        <v>178</v>
      </c>
      <c r="C96" s="29" t="s">
        <v>42</v>
      </c>
      <c r="D96" s="29" t="s">
        <v>412</v>
      </c>
      <c r="E96" s="29" t="s">
        <v>204</v>
      </c>
      <c r="F96" s="29" t="s">
        <v>770</v>
      </c>
      <c r="G96" s="29" t="s">
        <v>137</v>
      </c>
      <c r="H96" s="29" t="s">
        <v>539</v>
      </c>
      <c r="I96" s="36" t="s">
        <v>700</v>
      </c>
      <c r="J96" s="23"/>
    </row>
    <row r="97" spans="1:10" ht="39" customHeight="1">
      <c r="A97" s="28">
        <v>137061</v>
      </c>
      <c r="B97" s="29" t="s">
        <v>109</v>
      </c>
      <c r="C97" s="29" t="s">
        <v>110</v>
      </c>
      <c r="D97" s="29" t="s">
        <v>342</v>
      </c>
      <c r="E97" s="29" t="s">
        <v>204</v>
      </c>
      <c r="F97" s="29" t="s">
        <v>771</v>
      </c>
      <c r="G97" s="29" t="s">
        <v>137</v>
      </c>
      <c r="H97" s="29" t="s">
        <v>684</v>
      </c>
      <c r="I97" s="36" t="s">
        <v>701</v>
      </c>
      <c r="J97" s="23"/>
    </row>
    <row r="98" spans="1:10" ht="39" customHeight="1">
      <c r="A98" s="28">
        <v>142024</v>
      </c>
      <c r="B98" s="29" t="s">
        <v>156</v>
      </c>
      <c r="C98" s="29" t="s">
        <v>157</v>
      </c>
      <c r="D98" s="29" t="s">
        <v>385</v>
      </c>
      <c r="E98" s="29" t="s">
        <v>204</v>
      </c>
      <c r="F98" s="29" t="s">
        <v>386</v>
      </c>
      <c r="G98" s="29" t="s">
        <v>136</v>
      </c>
      <c r="H98" s="29"/>
      <c r="I98" s="36" t="s">
        <v>701</v>
      </c>
      <c r="J98" s="23"/>
    </row>
    <row r="99" spans="1:10" ht="39" customHeight="1">
      <c r="A99" s="28">
        <v>144075</v>
      </c>
      <c r="B99" s="29" t="s">
        <v>163</v>
      </c>
      <c r="C99" s="29" t="s">
        <v>164</v>
      </c>
      <c r="D99" s="29" t="s">
        <v>391</v>
      </c>
      <c r="E99" s="29" t="s">
        <v>204</v>
      </c>
      <c r="F99" s="29" t="s">
        <v>772</v>
      </c>
      <c r="G99" s="29" t="s">
        <v>11</v>
      </c>
      <c r="H99" s="29" t="s">
        <v>602</v>
      </c>
      <c r="I99" s="36" t="s">
        <v>701</v>
      </c>
      <c r="J99" s="23"/>
    </row>
    <row r="100" spans="1:10" ht="39" customHeight="1">
      <c r="A100" s="32">
        <v>150540</v>
      </c>
      <c r="B100" s="29" t="s">
        <v>183</v>
      </c>
      <c r="C100" s="29" t="s">
        <v>184</v>
      </c>
      <c r="D100" s="29" t="s">
        <v>421</v>
      </c>
      <c r="E100" s="29" t="s">
        <v>204</v>
      </c>
      <c r="F100" s="29" t="s">
        <v>422</v>
      </c>
      <c r="G100" s="29" t="s">
        <v>136</v>
      </c>
      <c r="H100" s="29"/>
      <c r="I100" s="36" t="s">
        <v>701</v>
      </c>
      <c r="J100" s="23"/>
    </row>
    <row r="101" spans="1:10" ht="39" customHeight="1">
      <c r="A101" s="28">
        <v>152473</v>
      </c>
      <c r="B101" s="29" t="s">
        <v>192</v>
      </c>
      <c r="C101" s="29" t="s">
        <v>773</v>
      </c>
      <c r="D101" s="29" t="s">
        <v>432</v>
      </c>
      <c r="E101" s="29" t="s">
        <v>204</v>
      </c>
      <c r="F101" s="29" t="s">
        <v>774</v>
      </c>
      <c r="G101" s="29" t="s">
        <v>136</v>
      </c>
      <c r="H101" s="29" t="s">
        <v>684</v>
      </c>
      <c r="I101" s="36" t="s">
        <v>701</v>
      </c>
      <c r="J101" s="23"/>
    </row>
    <row r="102" spans="1:10" ht="39" customHeight="1">
      <c r="A102" s="28">
        <v>112260</v>
      </c>
      <c r="B102" s="29" t="s">
        <v>9</v>
      </c>
      <c r="C102" s="29" t="s">
        <v>10</v>
      </c>
      <c r="D102" s="29" t="s">
        <v>775</v>
      </c>
      <c r="E102" s="29" t="s">
        <v>204</v>
      </c>
      <c r="F102" s="29" t="s">
        <v>219</v>
      </c>
      <c r="G102" s="29" t="s">
        <v>11</v>
      </c>
      <c r="H102" s="29" t="s">
        <v>617</v>
      </c>
      <c r="I102" s="36" t="s">
        <v>702</v>
      </c>
      <c r="J102" s="24" t="s">
        <v>699</v>
      </c>
    </row>
    <row r="103" spans="1:10" ht="39" customHeight="1">
      <c r="A103" s="28">
        <v>132692</v>
      </c>
      <c r="B103" s="29" t="s">
        <v>87</v>
      </c>
      <c r="C103" s="29" t="s">
        <v>88</v>
      </c>
      <c r="D103" s="29" t="s">
        <v>776</v>
      </c>
      <c r="E103" s="29" t="s">
        <v>204</v>
      </c>
      <c r="F103" s="29" t="s">
        <v>777</v>
      </c>
      <c r="G103" s="29" t="s">
        <v>136</v>
      </c>
      <c r="H103" s="29" t="s">
        <v>685</v>
      </c>
      <c r="I103" s="35" t="s">
        <v>702</v>
      </c>
      <c r="J103" s="24"/>
    </row>
    <row r="104" spans="1:10" ht="39" customHeight="1">
      <c r="A104" s="28">
        <v>138715</v>
      </c>
      <c r="B104" s="29" t="s">
        <v>125</v>
      </c>
      <c r="C104" s="29" t="s">
        <v>126</v>
      </c>
      <c r="D104" s="29" t="s">
        <v>355</v>
      </c>
      <c r="E104" s="29" t="s">
        <v>204</v>
      </c>
      <c r="F104" s="29" t="s">
        <v>778</v>
      </c>
      <c r="G104" s="29" t="s">
        <v>136</v>
      </c>
      <c r="H104" s="29" t="s">
        <v>602</v>
      </c>
      <c r="I104" s="36" t="s">
        <v>702</v>
      </c>
      <c r="J104" s="23"/>
    </row>
    <row r="105" spans="1:10" ht="39" customHeight="1">
      <c r="A105" s="28">
        <v>139222</v>
      </c>
      <c r="B105" s="29" t="s">
        <v>125</v>
      </c>
      <c r="C105" s="29" t="s">
        <v>779</v>
      </c>
      <c r="D105" s="29" t="s">
        <v>359</v>
      </c>
      <c r="E105" s="29" t="s">
        <v>204</v>
      </c>
      <c r="F105" s="29" t="s">
        <v>780</v>
      </c>
      <c r="G105" s="29" t="s">
        <v>136</v>
      </c>
      <c r="H105" s="29" t="s">
        <v>602</v>
      </c>
      <c r="I105" s="36" t="s">
        <v>702</v>
      </c>
      <c r="J105" s="23"/>
    </row>
    <row r="106" spans="1:10" ht="39" customHeight="1">
      <c r="A106" s="28">
        <v>140266</v>
      </c>
      <c r="B106" s="29" t="s">
        <v>132</v>
      </c>
      <c r="C106" s="29" t="s">
        <v>63</v>
      </c>
      <c r="D106" s="29" t="s">
        <v>364</v>
      </c>
      <c r="E106" s="29" t="s">
        <v>204</v>
      </c>
      <c r="F106" s="29" t="s">
        <v>781</v>
      </c>
      <c r="G106" s="29" t="s">
        <v>136</v>
      </c>
      <c r="H106" s="29" t="s">
        <v>565</v>
      </c>
      <c r="I106" s="36" t="s">
        <v>702</v>
      </c>
      <c r="J106" s="24"/>
    </row>
    <row r="107" spans="1:10" ht="39" customHeight="1">
      <c r="A107" s="28">
        <v>140903</v>
      </c>
      <c r="B107" s="29" t="s">
        <v>141</v>
      </c>
      <c r="C107" s="29" t="s">
        <v>42</v>
      </c>
      <c r="D107" s="29" t="s">
        <v>370</v>
      </c>
      <c r="E107" s="29" t="s">
        <v>204</v>
      </c>
      <c r="F107" s="29" t="s">
        <v>782</v>
      </c>
      <c r="G107" s="29" t="s">
        <v>136</v>
      </c>
      <c r="H107" s="29" t="s">
        <v>544</v>
      </c>
      <c r="I107" s="36" t="s">
        <v>702</v>
      </c>
      <c r="J107" s="23"/>
    </row>
    <row r="108" spans="1:10" ht="39" customHeight="1">
      <c r="A108" s="28">
        <v>147777</v>
      </c>
      <c r="B108" s="29" t="s">
        <v>175</v>
      </c>
      <c r="C108" s="29" t="s">
        <v>176</v>
      </c>
      <c r="D108" s="29" t="s">
        <v>783</v>
      </c>
      <c r="E108" s="29" t="s">
        <v>204</v>
      </c>
      <c r="F108" s="29" t="s">
        <v>408</v>
      </c>
      <c r="G108" s="29" t="s">
        <v>11</v>
      </c>
      <c r="H108" s="29" t="s">
        <v>565</v>
      </c>
      <c r="I108" s="36" t="s">
        <v>702</v>
      </c>
      <c r="J108" s="23"/>
    </row>
    <row r="109" spans="1:10" ht="39" customHeight="1">
      <c r="A109" s="28">
        <v>103615</v>
      </c>
      <c r="B109" s="29" t="s">
        <v>4</v>
      </c>
      <c r="C109" s="29" t="s">
        <v>5</v>
      </c>
      <c r="D109" s="29" t="s">
        <v>207</v>
      </c>
      <c r="E109" s="29" t="s">
        <v>208</v>
      </c>
      <c r="F109" s="29" t="s">
        <v>758</v>
      </c>
      <c r="G109" s="29" t="s">
        <v>136</v>
      </c>
      <c r="H109" s="29" t="s">
        <v>583</v>
      </c>
      <c r="I109" s="35" t="s">
        <v>831</v>
      </c>
      <c r="J109" s="24"/>
    </row>
    <row r="110" spans="1:10" ht="39" customHeight="1">
      <c r="A110" s="28">
        <v>128059</v>
      </c>
      <c r="B110" s="29" t="s">
        <v>35</v>
      </c>
      <c r="C110" s="29" t="s">
        <v>15</v>
      </c>
      <c r="D110" s="29" t="s">
        <v>250</v>
      </c>
      <c r="E110" s="29" t="s">
        <v>208</v>
      </c>
      <c r="F110" s="29" t="s">
        <v>811</v>
      </c>
      <c r="G110" s="29" t="s">
        <v>136</v>
      </c>
      <c r="H110" s="29" t="s">
        <v>617</v>
      </c>
      <c r="I110" s="35" t="s">
        <v>694</v>
      </c>
      <c r="J110" s="24" t="s">
        <v>697</v>
      </c>
    </row>
    <row r="111" spans="1:10" ht="39" customHeight="1">
      <c r="A111" s="28">
        <v>139374</v>
      </c>
      <c r="B111" s="29" t="s">
        <v>129</v>
      </c>
      <c r="C111" s="29" t="s">
        <v>130</v>
      </c>
      <c r="D111" s="29" t="s">
        <v>361</v>
      </c>
      <c r="E111" s="29" t="s">
        <v>210</v>
      </c>
      <c r="F111" s="29" t="s">
        <v>807</v>
      </c>
      <c r="G111" s="29" t="s">
        <v>136</v>
      </c>
      <c r="H111" s="29" t="s">
        <v>565</v>
      </c>
      <c r="I111" s="35" t="s">
        <v>694</v>
      </c>
      <c r="J111" s="24"/>
    </row>
    <row r="112" spans="1:10" ht="39" customHeight="1">
      <c r="A112" s="28">
        <v>147162</v>
      </c>
      <c r="B112" s="29" t="s">
        <v>172</v>
      </c>
      <c r="C112" s="29" t="s">
        <v>173</v>
      </c>
      <c r="D112" s="29" t="s">
        <v>403</v>
      </c>
      <c r="E112" s="29" t="s">
        <v>210</v>
      </c>
      <c r="F112" s="29" t="s">
        <v>808</v>
      </c>
      <c r="G112" s="29" t="s">
        <v>136</v>
      </c>
      <c r="H112" s="29" t="s">
        <v>544</v>
      </c>
      <c r="I112" s="35" t="s">
        <v>694</v>
      </c>
      <c r="J112" s="23"/>
    </row>
    <row r="113" spans="1:10" ht="39" customHeight="1">
      <c r="A113" s="28">
        <v>150994</v>
      </c>
      <c r="B113" s="29" t="s">
        <v>188</v>
      </c>
      <c r="C113" s="29" t="s">
        <v>189</v>
      </c>
      <c r="D113" s="29" t="s">
        <v>809</v>
      </c>
      <c r="E113" s="29" t="s">
        <v>210</v>
      </c>
      <c r="F113" s="29" t="s">
        <v>810</v>
      </c>
      <c r="G113" s="29" t="s">
        <v>136</v>
      </c>
      <c r="H113" s="29" t="s">
        <v>565</v>
      </c>
      <c r="I113" s="35" t="s">
        <v>694</v>
      </c>
      <c r="J113" s="23"/>
    </row>
    <row r="114" spans="1:10" ht="39" customHeight="1">
      <c r="A114" s="28">
        <v>121621</v>
      </c>
      <c r="B114" s="29" t="s">
        <v>24</v>
      </c>
      <c r="C114" s="29" t="s">
        <v>25</v>
      </c>
      <c r="D114" s="29" t="s">
        <v>236</v>
      </c>
      <c r="E114" s="29" t="s">
        <v>210</v>
      </c>
      <c r="F114" s="29" t="s">
        <v>813</v>
      </c>
      <c r="G114" s="29" t="s">
        <v>136</v>
      </c>
      <c r="H114" s="29" t="s">
        <v>533</v>
      </c>
      <c r="I114" s="34"/>
      <c r="J114" s="23"/>
    </row>
    <row r="115" spans="1:10" ht="39" customHeight="1">
      <c r="A115" s="28">
        <v>130087</v>
      </c>
      <c r="B115" s="29" t="s">
        <v>53</v>
      </c>
      <c r="C115" s="29" t="s">
        <v>54</v>
      </c>
      <c r="D115" s="29" t="s">
        <v>271</v>
      </c>
      <c r="E115" s="29" t="s">
        <v>210</v>
      </c>
      <c r="F115" s="29" t="s">
        <v>815</v>
      </c>
      <c r="G115" s="29" t="s">
        <v>136</v>
      </c>
      <c r="H115" s="29" t="s">
        <v>533</v>
      </c>
      <c r="I115" s="34"/>
      <c r="J115" s="23"/>
    </row>
    <row r="116" spans="1:10" ht="39" customHeight="1">
      <c r="A116" s="28">
        <v>130301</v>
      </c>
      <c r="B116" s="29" t="s">
        <v>55</v>
      </c>
      <c r="C116" s="29" t="s">
        <v>38</v>
      </c>
      <c r="D116" s="29" t="s">
        <v>272</v>
      </c>
      <c r="E116" s="29" t="s">
        <v>210</v>
      </c>
      <c r="F116" s="29" t="s">
        <v>816</v>
      </c>
      <c r="G116" s="29" t="s">
        <v>136</v>
      </c>
      <c r="H116" s="29" t="s">
        <v>533</v>
      </c>
      <c r="I116" s="34"/>
      <c r="J116" s="23"/>
    </row>
    <row r="117" spans="1:10" ht="39" customHeight="1">
      <c r="A117" s="28">
        <v>132561</v>
      </c>
      <c r="B117" s="29" t="s">
        <v>83</v>
      </c>
      <c r="C117" s="29" t="s">
        <v>84</v>
      </c>
      <c r="D117" s="29" t="s">
        <v>300</v>
      </c>
      <c r="E117" s="29" t="s">
        <v>208</v>
      </c>
      <c r="F117" s="29" t="s">
        <v>823</v>
      </c>
      <c r="G117" s="29" t="s">
        <v>136</v>
      </c>
      <c r="H117" s="29" t="s">
        <v>533</v>
      </c>
      <c r="I117" s="34"/>
      <c r="J117" s="23"/>
    </row>
    <row r="118" spans="1:10" ht="39" customHeight="1">
      <c r="A118" s="28">
        <v>132569</v>
      </c>
      <c r="B118" s="29" t="s">
        <v>83</v>
      </c>
      <c r="C118" s="29" t="s">
        <v>84</v>
      </c>
      <c r="D118" s="29" t="s">
        <v>301</v>
      </c>
      <c r="E118" s="29" t="s">
        <v>208</v>
      </c>
      <c r="F118" s="29" t="s">
        <v>824</v>
      </c>
      <c r="G118" s="29" t="s">
        <v>136</v>
      </c>
      <c r="H118" s="29" t="s">
        <v>533</v>
      </c>
      <c r="I118" s="34"/>
      <c r="J118" s="23"/>
    </row>
    <row r="119" spans="1:10" ht="39" customHeight="1">
      <c r="A119" s="28">
        <v>141196</v>
      </c>
      <c r="B119" s="29" t="s">
        <v>148</v>
      </c>
      <c r="C119" s="29" t="s">
        <v>149</v>
      </c>
      <c r="D119" s="29" t="s">
        <v>825</v>
      </c>
      <c r="E119" s="31" t="s">
        <v>208</v>
      </c>
      <c r="F119" s="29" t="s">
        <v>826</v>
      </c>
      <c r="G119" s="29" t="s">
        <v>136</v>
      </c>
      <c r="H119" s="29" t="s">
        <v>686</v>
      </c>
      <c r="I119" s="34"/>
      <c r="J119" s="24"/>
    </row>
    <row r="120" spans="1:10" ht="39" customHeight="1">
      <c r="A120" s="28">
        <v>141431</v>
      </c>
      <c r="B120" s="29" t="s">
        <v>154</v>
      </c>
      <c r="C120" s="29" t="s">
        <v>827</v>
      </c>
      <c r="D120" s="29" t="s">
        <v>379</v>
      </c>
      <c r="E120" s="29" t="s">
        <v>208</v>
      </c>
      <c r="F120" s="29" t="s">
        <v>828</v>
      </c>
      <c r="G120" s="29" t="s">
        <v>136</v>
      </c>
      <c r="H120" s="29" t="s">
        <v>533</v>
      </c>
      <c r="I120" s="34"/>
      <c r="J120" s="23"/>
    </row>
    <row r="121" spans="1:10" ht="39" customHeight="1">
      <c r="A121" s="28">
        <v>144461</v>
      </c>
      <c r="B121" s="29" t="s">
        <v>165</v>
      </c>
      <c r="C121" s="29" t="s">
        <v>166</v>
      </c>
      <c r="D121" s="29" t="s">
        <v>393</v>
      </c>
      <c r="E121" s="29" t="s">
        <v>204</v>
      </c>
      <c r="F121" s="29" t="s">
        <v>820</v>
      </c>
      <c r="G121" s="29" t="s">
        <v>136</v>
      </c>
      <c r="H121" s="29" t="s">
        <v>643</v>
      </c>
      <c r="I121" s="36"/>
      <c r="J121" s="24"/>
    </row>
    <row r="122" spans="1:10" ht="39" customHeight="1">
      <c r="A122" s="28">
        <v>144830</v>
      </c>
      <c r="B122" s="29" t="s">
        <v>167</v>
      </c>
      <c r="C122" s="29" t="s">
        <v>38</v>
      </c>
      <c r="D122" s="29" t="s">
        <v>395</v>
      </c>
      <c r="E122" s="29" t="s">
        <v>210</v>
      </c>
      <c r="F122" s="29" t="s">
        <v>817</v>
      </c>
      <c r="G122" s="29" t="s">
        <v>136</v>
      </c>
      <c r="H122" s="29" t="s">
        <v>533</v>
      </c>
      <c r="I122" s="34"/>
      <c r="J122" s="23"/>
    </row>
    <row r="123" spans="1:10" ht="39" customHeight="1">
      <c r="A123" s="28">
        <v>147840</v>
      </c>
      <c r="B123" s="29" t="s">
        <v>177</v>
      </c>
      <c r="C123" s="29" t="s">
        <v>40</v>
      </c>
      <c r="D123" s="29" t="s">
        <v>409</v>
      </c>
      <c r="E123" s="29" t="s">
        <v>208</v>
      </c>
      <c r="F123" s="29" t="s">
        <v>829</v>
      </c>
      <c r="G123" s="29" t="s">
        <v>136</v>
      </c>
      <c r="H123" s="29"/>
      <c r="I123" s="34"/>
      <c r="J123" s="24"/>
    </row>
    <row r="124" spans="1:10" ht="39" customHeight="1">
      <c r="A124" s="28">
        <v>153607</v>
      </c>
      <c r="B124" s="29" t="s">
        <v>195</v>
      </c>
      <c r="C124" s="29" t="s">
        <v>63</v>
      </c>
      <c r="D124" s="29" t="s">
        <v>437</v>
      </c>
      <c r="E124" s="29" t="s">
        <v>210</v>
      </c>
      <c r="F124" s="29" t="s">
        <v>818</v>
      </c>
      <c r="G124" s="29" t="s">
        <v>136</v>
      </c>
      <c r="H124" s="29" t="s">
        <v>533</v>
      </c>
      <c r="I124" s="34"/>
      <c r="J124" s="24"/>
    </row>
  </sheetData>
  <sortState xmlns:xlrd2="http://schemas.microsoft.com/office/spreadsheetml/2017/richdata2" ref="A2:J124">
    <sortCondition ref="I2:I124"/>
    <sortCondition ref="A2:A124"/>
  </sortState>
  <mergeCells count="1">
    <mergeCell ref="B1:C1"/>
  </mergeCells>
  <phoneticPr fontId="1" type="noConversion"/>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5753E-40B6-4080-8071-64A4D02CCD48}">
  <dimension ref="A1:J196"/>
  <sheetViews>
    <sheetView topLeftCell="A125" zoomScale="85" zoomScaleNormal="85" workbookViewId="0">
      <selection activeCell="B196" sqref="B196"/>
    </sheetView>
  </sheetViews>
  <sheetFormatPr defaultColWidth="8.875" defaultRowHeight="15"/>
  <cols>
    <col min="1" max="1" width="8.5" style="6" customWidth="1"/>
    <col min="2" max="2" width="21" style="6" customWidth="1"/>
    <col min="3" max="3" width="28" style="6" customWidth="1"/>
    <col min="4" max="4" width="18" style="6" customWidth="1"/>
    <col min="5" max="6" width="10.375" style="6" customWidth="1"/>
    <col min="7" max="7" width="53.125" style="6" customWidth="1"/>
    <col min="8" max="8" width="13.625" style="6" customWidth="1"/>
    <col min="9" max="9" width="32.625" style="10" customWidth="1"/>
  </cols>
  <sheetData>
    <row r="1" spans="1:10" ht="13.5">
      <c r="A1" s="48" t="s">
        <v>0</v>
      </c>
      <c r="B1" s="48" t="s">
        <v>1</v>
      </c>
      <c r="C1" s="48"/>
      <c r="D1" s="48" t="s">
        <v>140</v>
      </c>
      <c r="E1" s="48"/>
      <c r="F1" s="48"/>
      <c r="G1" s="48"/>
      <c r="H1" s="50" t="s">
        <v>530</v>
      </c>
      <c r="I1" s="49" t="s">
        <v>495</v>
      </c>
    </row>
    <row r="2" spans="1:10" ht="14.25">
      <c r="A2" s="48"/>
      <c r="B2" s="48"/>
      <c r="C2" s="48"/>
      <c r="D2" s="3" t="s">
        <v>455</v>
      </c>
      <c r="E2" s="3" t="s">
        <v>456</v>
      </c>
      <c r="F2" s="3" t="s">
        <v>135</v>
      </c>
      <c r="G2" s="3" t="s">
        <v>134</v>
      </c>
      <c r="H2" s="51"/>
      <c r="I2" s="49"/>
    </row>
    <row r="3" spans="1:10" ht="38.25">
      <c r="A3" s="1">
        <v>101154</v>
      </c>
      <c r="B3" s="4" t="s">
        <v>2</v>
      </c>
      <c r="C3" s="4" t="s">
        <v>3</v>
      </c>
      <c r="D3" s="4" t="s">
        <v>205</v>
      </c>
      <c r="E3" s="4" t="s">
        <v>206</v>
      </c>
      <c r="F3" s="4" t="s">
        <v>11</v>
      </c>
      <c r="G3" s="4" t="s">
        <v>640</v>
      </c>
      <c r="H3" s="4" t="s">
        <v>643</v>
      </c>
    </row>
    <row r="4" spans="1:10" ht="63.75">
      <c r="A4" s="1">
        <v>103615</v>
      </c>
      <c r="B4" s="4" t="s">
        <v>4</v>
      </c>
      <c r="C4" s="4" t="s">
        <v>5</v>
      </c>
      <c r="D4" s="4" t="s">
        <v>207</v>
      </c>
      <c r="E4" s="4" t="s">
        <v>208</v>
      </c>
      <c r="F4" s="4" t="s">
        <v>136</v>
      </c>
      <c r="G4" s="4" t="s">
        <v>619</v>
      </c>
      <c r="H4" s="4" t="s">
        <v>583</v>
      </c>
      <c r="I4" s="11" t="s">
        <v>618</v>
      </c>
    </row>
    <row r="5" spans="1:10" ht="25.5">
      <c r="A5" s="1">
        <v>103831</v>
      </c>
      <c r="B5" s="4" t="s">
        <v>6</v>
      </c>
      <c r="C5" s="4" t="s">
        <v>6</v>
      </c>
      <c r="D5" s="4" t="s">
        <v>209</v>
      </c>
      <c r="E5" s="4" t="s">
        <v>210</v>
      </c>
      <c r="F5" s="4" t="s">
        <v>136</v>
      </c>
      <c r="G5" s="4" t="s">
        <v>457</v>
      </c>
      <c r="H5" s="4" t="s">
        <v>531</v>
      </c>
    </row>
    <row r="6" spans="1:10" ht="38.25">
      <c r="A6" s="1">
        <v>103913</v>
      </c>
      <c r="B6" s="4" t="s">
        <v>6</v>
      </c>
      <c r="C6" s="4" t="s">
        <v>6</v>
      </c>
      <c r="D6" s="4" t="s">
        <v>211</v>
      </c>
      <c r="E6" s="4" t="s">
        <v>208</v>
      </c>
      <c r="F6" s="4" t="s">
        <v>11</v>
      </c>
      <c r="G6" s="4" t="s">
        <v>620</v>
      </c>
      <c r="H6" s="4" t="s">
        <v>583</v>
      </c>
    </row>
    <row r="7" spans="1:10" ht="38.25">
      <c r="A7" s="1">
        <v>105929</v>
      </c>
      <c r="B7" s="4" t="s">
        <v>7</v>
      </c>
      <c r="C7" s="4" t="s">
        <v>8</v>
      </c>
      <c r="D7" s="4" t="s">
        <v>212</v>
      </c>
      <c r="E7" s="4" t="s">
        <v>208</v>
      </c>
      <c r="F7" s="4" t="s">
        <v>11</v>
      </c>
      <c r="G7" s="4" t="s">
        <v>621</v>
      </c>
      <c r="H7" s="4" t="s">
        <v>617</v>
      </c>
      <c r="I7" s="21"/>
    </row>
    <row r="8" spans="1:10" ht="38.25">
      <c r="A8" s="1">
        <v>107143</v>
      </c>
      <c r="B8" s="4" t="s">
        <v>6</v>
      </c>
      <c r="C8" s="4" t="s">
        <v>6</v>
      </c>
      <c r="D8" s="4" t="s">
        <v>213</v>
      </c>
      <c r="E8" s="4" t="s">
        <v>204</v>
      </c>
      <c r="F8" s="4" t="s">
        <v>136</v>
      </c>
      <c r="G8" s="4" t="s">
        <v>214</v>
      </c>
      <c r="H8" s="4"/>
    </row>
    <row r="9" spans="1:10" ht="25.5">
      <c r="A9" s="1">
        <v>111551</v>
      </c>
      <c r="B9" s="4" t="s">
        <v>6</v>
      </c>
      <c r="C9" s="4" t="s">
        <v>6</v>
      </c>
      <c r="D9" s="4" t="s">
        <v>215</v>
      </c>
      <c r="E9" s="4" t="s">
        <v>210</v>
      </c>
      <c r="F9" s="4" t="s">
        <v>136</v>
      </c>
      <c r="G9" s="4" t="s">
        <v>458</v>
      </c>
      <c r="H9" s="4" t="s">
        <v>533</v>
      </c>
    </row>
    <row r="10" spans="1:10" ht="38.25">
      <c r="A10" s="1">
        <v>111794</v>
      </c>
      <c r="B10" s="4" t="s">
        <v>6</v>
      </c>
      <c r="C10" s="4" t="s">
        <v>6</v>
      </c>
      <c r="D10" s="4" t="s">
        <v>216</v>
      </c>
      <c r="E10" s="4" t="s">
        <v>208</v>
      </c>
      <c r="F10" s="4" t="s">
        <v>136</v>
      </c>
      <c r="G10" s="4" t="s">
        <v>622</v>
      </c>
      <c r="H10" s="4" t="s">
        <v>617</v>
      </c>
      <c r="I10" s="20"/>
    </row>
    <row r="11" spans="1:10" ht="25.5">
      <c r="A11" s="1">
        <v>112009</v>
      </c>
      <c r="B11" s="4" t="s">
        <v>6</v>
      </c>
      <c r="C11" s="4" t="s">
        <v>6</v>
      </c>
      <c r="D11" s="4" t="s">
        <v>217</v>
      </c>
      <c r="E11" s="4" t="s">
        <v>210</v>
      </c>
      <c r="F11" s="4" t="s">
        <v>136</v>
      </c>
      <c r="G11" s="4" t="s">
        <v>459</v>
      </c>
      <c r="H11" s="4" t="s">
        <v>532</v>
      </c>
    </row>
    <row r="12" spans="1:10" ht="38.25">
      <c r="A12" s="1">
        <v>112260</v>
      </c>
      <c r="B12" s="4" t="s">
        <v>9</v>
      </c>
      <c r="C12" s="4" t="s">
        <v>10</v>
      </c>
      <c r="D12" s="4" t="s">
        <v>218</v>
      </c>
      <c r="E12" s="4" t="s">
        <v>204</v>
      </c>
      <c r="F12" s="4" t="s">
        <v>11</v>
      </c>
      <c r="G12" s="4" t="s">
        <v>219</v>
      </c>
      <c r="H12" s="4"/>
    </row>
    <row r="13" spans="1:10" ht="38.25">
      <c r="A13" s="8">
        <v>113443</v>
      </c>
      <c r="B13" s="9" t="s">
        <v>12</v>
      </c>
      <c r="C13" s="9" t="s">
        <v>13</v>
      </c>
      <c r="D13" s="9" t="s">
        <v>220</v>
      </c>
      <c r="E13" s="9" t="s">
        <v>210</v>
      </c>
      <c r="F13" s="9" t="s">
        <v>11</v>
      </c>
      <c r="G13" s="9" t="s">
        <v>460</v>
      </c>
      <c r="H13" s="9" t="s">
        <v>565</v>
      </c>
      <c r="J13" s="7"/>
    </row>
    <row r="14" spans="1:10" ht="51">
      <c r="A14" s="1">
        <v>114938</v>
      </c>
      <c r="B14" s="4" t="s">
        <v>6</v>
      </c>
      <c r="C14" s="4" t="s">
        <v>6</v>
      </c>
      <c r="D14" s="4" t="s">
        <v>221</v>
      </c>
      <c r="E14" s="4" t="s">
        <v>210</v>
      </c>
      <c r="F14" s="4" t="s">
        <v>136</v>
      </c>
      <c r="G14" s="4" t="s">
        <v>485</v>
      </c>
      <c r="H14" s="4" t="s">
        <v>533</v>
      </c>
      <c r="I14" s="16" t="s">
        <v>484</v>
      </c>
    </row>
    <row r="15" spans="1:10" ht="51">
      <c r="A15" s="1">
        <v>115520</v>
      </c>
      <c r="B15" s="4" t="s">
        <v>14</v>
      </c>
      <c r="C15" s="4" t="s">
        <v>15</v>
      </c>
      <c r="D15" s="4" t="s">
        <v>222</v>
      </c>
      <c r="E15" s="5" t="s">
        <v>210</v>
      </c>
      <c r="F15" s="4" t="s">
        <v>136</v>
      </c>
      <c r="G15" s="4" t="s">
        <v>461</v>
      </c>
      <c r="H15" s="4" t="s">
        <v>617</v>
      </c>
    </row>
    <row r="16" spans="1:10" ht="38.25">
      <c r="A16" s="1">
        <v>116264</v>
      </c>
      <c r="B16" s="4" t="s">
        <v>16</v>
      </c>
      <c r="C16" s="4" t="s">
        <v>466</v>
      </c>
      <c r="D16" s="4" t="s">
        <v>223</v>
      </c>
      <c r="E16" s="4" t="s">
        <v>210</v>
      </c>
      <c r="F16" s="4" t="s">
        <v>136</v>
      </c>
      <c r="G16" s="4" t="s">
        <v>642</v>
      </c>
      <c r="H16" s="4" t="s">
        <v>565</v>
      </c>
    </row>
    <row r="17" spans="1:9" ht="63.75">
      <c r="A17" s="1">
        <v>116835</v>
      </c>
      <c r="B17" s="4" t="s">
        <v>6</v>
      </c>
      <c r="C17" s="4" t="s">
        <v>6</v>
      </c>
      <c r="D17" s="4" t="s">
        <v>224</v>
      </c>
      <c r="E17" s="4" t="s">
        <v>210</v>
      </c>
      <c r="F17" s="4" t="s">
        <v>136</v>
      </c>
      <c r="G17" s="4" t="s">
        <v>486</v>
      </c>
      <c r="H17" s="4" t="s">
        <v>533</v>
      </c>
      <c r="I17" s="16" t="s">
        <v>496</v>
      </c>
    </row>
    <row r="18" spans="1:9" ht="25.5">
      <c r="A18" s="1">
        <v>117026</v>
      </c>
      <c r="B18" s="4" t="s">
        <v>17</v>
      </c>
      <c r="C18" s="4" t="s">
        <v>18</v>
      </c>
      <c r="D18" s="4" t="s">
        <v>225</v>
      </c>
      <c r="E18" s="4" t="s">
        <v>210</v>
      </c>
      <c r="F18" s="4" t="s">
        <v>136</v>
      </c>
      <c r="G18" s="4" t="s">
        <v>462</v>
      </c>
      <c r="H18" s="4" t="s">
        <v>531</v>
      </c>
    </row>
    <row r="19" spans="1:9" ht="25.5">
      <c r="A19" s="1">
        <v>117042</v>
      </c>
      <c r="B19" s="4" t="s">
        <v>6</v>
      </c>
      <c r="C19" s="4" t="s">
        <v>6</v>
      </c>
      <c r="D19" s="4" t="s">
        <v>226</v>
      </c>
      <c r="E19" s="4" t="s">
        <v>210</v>
      </c>
      <c r="F19" s="4" t="s">
        <v>136</v>
      </c>
      <c r="G19" s="4" t="s">
        <v>463</v>
      </c>
      <c r="H19" s="4" t="s">
        <v>583</v>
      </c>
    </row>
    <row r="20" spans="1:9" ht="25.5">
      <c r="A20" s="1">
        <v>118072</v>
      </c>
      <c r="B20" s="4" t="s">
        <v>6</v>
      </c>
      <c r="C20" s="4" t="s">
        <v>6</v>
      </c>
      <c r="D20" s="4" t="s">
        <v>227</v>
      </c>
      <c r="E20" s="4" t="s">
        <v>206</v>
      </c>
      <c r="F20" s="4" t="s">
        <v>136</v>
      </c>
      <c r="G20" s="4" t="s">
        <v>641</v>
      </c>
      <c r="H20" s="4" t="s">
        <v>643</v>
      </c>
    </row>
    <row r="21" spans="1:9" ht="25.5">
      <c r="A21" s="1">
        <v>118531</v>
      </c>
      <c r="B21" s="4" t="s">
        <v>6</v>
      </c>
      <c r="C21" s="4" t="s">
        <v>6</v>
      </c>
      <c r="D21" s="4" t="s">
        <v>228</v>
      </c>
      <c r="E21" s="4" t="s">
        <v>210</v>
      </c>
      <c r="F21" s="4" t="s">
        <v>136</v>
      </c>
      <c r="G21" s="4" t="s">
        <v>464</v>
      </c>
      <c r="H21" s="4" t="s">
        <v>532</v>
      </c>
    </row>
    <row r="22" spans="1:9" ht="25.5">
      <c r="A22" s="1">
        <v>118532</v>
      </c>
      <c r="B22" s="4" t="s">
        <v>6</v>
      </c>
      <c r="C22" s="4" t="s">
        <v>6</v>
      </c>
      <c r="D22" s="4" t="s">
        <v>229</v>
      </c>
      <c r="E22" s="4" t="s">
        <v>210</v>
      </c>
      <c r="F22" s="4" t="s">
        <v>136</v>
      </c>
      <c r="G22" s="4" t="s">
        <v>465</v>
      </c>
      <c r="H22" s="4" t="s">
        <v>532</v>
      </c>
    </row>
    <row r="23" spans="1:9" ht="38.25">
      <c r="A23" s="1">
        <v>119203</v>
      </c>
      <c r="B23" s="4" t="s">
        <v>6</v>
      </c>
      <c r="C23" s="4" t="s">
        <v>467</v>
      </c>
      <c r="D23" s="4" t="s">
        <v>230</v>
      </c>
      <c r="E23" s="4" t="s">
        <v>210</v>
      </c>
      <c r="F23" s="4" t="s">
        <v>11</v>
      </c>
      <c r="G23" s="4" t="s">
        <v>231</v>
      </c>
      <c r="H23" s="4" t="s">
        <v>552</v>
      </c>
    </row>
    <row r="24" spans="1:9" ht="51">
      <c r="A24" s="1">
        <v>120799</v>
      </c>
      <c r="B24" s="4" t="s">
        <v>19</v>
      </c>
      <c r="C24" s="4" t="s">
        <v>20</v>
      </c>
      <c r="D24" s="4" t="s">
        <v>489</v>
      </c>
      <c r="E24" s="4" t="s">
        <v>210</v>
      </c>
      <c r="F24" s="4" t="s">
        <v>11</v>
      </c>
      <c r="G24" s="4" t="s">
        <v>490</v>
      </c>
      <c r="H24" s="4" t="s">
        <v>552</v>
      </c>
    </row>
    <row r="25" spans="1:9" ht="38.25">
      <c r="A25" s="8">
        <v>121238</v>
      </c>
      <c r="B25" s="9" t="s">
        <v>21</v>
      </c>
      <c r="C25" s="9" t="s">
        <v>487</v>
      </c>
      <c r="D25" s="9" t="s">
        <v>232</v>
      </c>
      <c r="E25" s="9" t="s">
        <v>210</v>
      </c>
      <c r="F25" s="9" t="s">
        <v>11</v>
      </c>
      <c r="G25" s="9" t="s">
        <v>233</v>
      </c>
      <c r="H25" s="9" t="s">
        <v>553</v>
      </c>
    </row>
    <row r="26" spans="1:9" ht="25.5">
      <c r="A26" s="1">
        <v>121386</v>
      </c>
      <c r="B26" s="4" t="s">
        <v>6</v>
      </c>
      <c r="C26" s="4" t="s">
        <v>6</v>
      </c>
      <c r="D26" s="4" t="s">
        <v>234</v>
      </c>
      <c r="E26" s="4" t="s">
        <v>210</v>
      </c>
      <c r="F26" s="4" t="s">
        <v>136</v>
      </c>
      <c r="G26" s="4" t="s">
        <v>488</v>
      </c>
      <c r="H26" s="4" t="s">
        <v>533</v>
      </c>
    </row>
    <row r="27" spans="1:9" ht="76.5">
      <c r="A27" s="1">
        <v>121619</v>
      </c>
      <c r="B27" s="4" t="s">
        <v>22</v>
      </c>
      <c r="C27" s="4" t="s">
        <v>23</v>
      </c>
      <c r="D27" s="4" t="s">
        <v>235</v>
      </c>
      <c r="E27" s="4" t="s">
        <v>206</v>
      </c>
      <c r="F27" s="4" t="s">
        <v>136</v>
      </c>
      <c r="G27" s="4" t="s">
        <v>644</v>
      </c>
      <c r="H27" s="4"/>
      <c r="I27" s="10" t="s">
        <v>645</v>
      </c>
    </row>
    <row r="28" spans="1:9" ht="25.5">
      <c r="A28" s="1">
        <v>121621</v>
      </c>
      <c r="B28" s="4" t="s">
        <v>24</v>
      </c>
      <c r="C28" s="4" t="s">
        <v>25</v>
      </c>
      <c r="D28" s="4" t="s">
        <v>236</v>
      </c>
      <c r="E28" s="4" t="s">
        <v>210</v>
      </c>
      <c r="F28" s="4" t="s">
        <v>136</v>
      </c>
      <c r="G28" s="4" t="s">
        <v>491</v>
      </c>
      <c r="H28" s="4" t="s">
        <v>533</v>
      </c>
    </row>
    <row r="29" spans="1:9" ht="51">
      <c r="A29" s="1">
        <v>121966</v>
      </c>
      <c r="B29" s="4" t="s">
        <v>26</v>
      </c>
      <c r="C29" s="4" t="s">
        <v>479</v>
      </c>
      <c r="D29" s="4" t="s">
        <v>237</v>
      </c>
      <c r="E29" s="4" t="s">
        <v>206</v>
      </c>
      <c r="F29" s="4" t="s">
        <v>136</v>
      </c>
      <c r="G29" s="4" t="s">
        <v>646</v>
      </c>
      <c r="H29" s="4" t="s">
        <v>643</v>
      </c>
    </row>
    <row r="30" spans="1:9" ht="50.25">
      <c r="A30" s="1">
        <v>122447</v>
      </c>
      <c r="B30" s="4" t="s">
        <v>6</v>
      </c>
      <c r="C30" s="4" t="s">
        <v>6</v>
      </c>
      <c r="D30" s="4" t="s">
        <v>238</v>
      </c>
      <c r="E30" s="4" t="s">
        <v>210</v>
      </c>
      <c r="F30" s="4" t="s">
        <v>136</v>
      </c>
      <c r="G30" s="4" t="s">
        <v>492</v>
      </c>
      <c r="H30" s="4" t="s">
        <v>602</v>
      </c>
      <c r="I30" s="10" t="s">
        <v>497</v>
      </c>
    </row>
    <row r="31" spans="1:9" ht="38.25">
      <c r="A31" s="1">
        <v>123202</v>
      </c>
      <c r="B31" s="4" t="s">
        <v>6</v>
      </c>
      <c r="C31" s="4" t="s">
        <v>6</v>
      </c>
      <c r="D31" s="4" t="s">
        <v>239</v>
      </c>
      <c r="E31" s="4" t="s">
        <v>204</v>
      </c>
      <c r="F31" s="4" t="s">
        <v>11</v>
      </c>
      <c r="G31" s="4" t="s">
        <v>240</v>
      </c>
      <c r="H31" s="4"/>
    </row>
    <row r="32" spans="1:9" ht="38.25">
      <c r="A32" s="1">
        <v>123771</v>
      </c>
      <c r="B32" s="4" t="s">
        <v>27</v>
      </c>
      <c r="C32" s="4" t="s">
        <v>28</v>
      </c>
      <c r="D32" s="4" t="s">
        <v>241</v>
      </c>
      <c r="E32" s="4" t="s">
        <v>208</v>
      </c>
      <c r="F32" s="4" t="s">
        <v>136</v>
      </c>
      <c r="G32" s="4" t="s">
        <v>625</v>
      </c>
      <c r="H32" s="4" t="s">
        <v>623</v>
      </c>
      <c r="I32" s="11" t="s">
        <v>624</v>
      </c>
    </row>
    <row r="33" spans="1:9" ht="38.25">
      <c r="A33" s="1">
        <v>124247</v>
      </c>
      <c r="B33" s="4" t="s">
        <v>29</v>
      </c>
      <c r="C33" s="4" t="s">
        <v>30</v>
      </c>
      <c r="D33" s="4" t="s">
        <v>242</v>
      </c>
      <c r="E33" s="4" t="s">
        <v>210</v>
      </c>
      <c r="F33" s="4" t="s">
        <v>136</v>
      </c>
      <c r="G33" s="4" t="s">
        <v>493</v>
      </c>
      <c r="H33" s="4" t="s">
        <v>533</v>
      </c>
    </row>
    <row r="34" spans="1:9" ht="25.5">
      <c r="A34" s="1">
        <v>124477</v>
      </c>
      <c r="B34" s="4" t="s">
        <v>6</v>
      </c>
      <c r="C34" s="4" t="s">
        <v>6</v>
      </c>
      <c r="D34" s="4" t="s">
        <v>243</v>
      </c>
      <c r="E34" s="4" t="s">
        <v>210</v>
      </c>
      <c r="F34" s="4" t="s">
        <v>136</v>
      </c>
      <c r="G34" s="4" t="s">
        <v>494</v>
      </c>
      <c r="H34" s="4" t="s">
        <v>540</v>
      </c>
    </row>
    <row r="35" spans="1:9" ht="51">
      <c r="A35" s="1">
        <v>124653</v>
      </c>
      <c r="B35" s="4" t="s">
        <v>31</v>
      </c>
      <c r="C35" s="4" t="s">
        <v>25</v>
      </c>
      <c r="D35" s="4" t="s">
        <v>502</v>
      </c>
      <c r="E35" s="4" t="s">
        <v>210</v>
      </c>
      <c r="F35" s="4" t="s">
        <v>137</v>
      </c>
      <c r="G35" s="4" t="s">
        <v>244</v>
      </c>
      <c r="H35" s="4" t="s">
        <v>531</v>
      </c>
      <c r="I35" s="11" t="s">
        <v>503</v>
      </c>
    </row>
    <row r="36" spans="1:9" ht="38.25">
      <c r="A36" s="1">
        <v>125078</v>
      </c>
      <c r="B36" s="4" t="s">
        <v>32</v>
      </c>
      <c r="C36" s="4" t="s">
        <v>33</v>
      </c>
      <c r="D36" s="4" t="s">
        <v>245</v>
      </c>
      <c r="E36" s="4" t="s">
        <v>210</v>
      </c>
      <c r="F36" s="4" t="s">
        <v>136</v>
      </c>
      <c r="G36" s="4" t="s">
        <v>498</v>
      </c>
      <c r="H36" s="4" t="s">
        <v>533</v>
      </c>
    </row>
    <row r="37" spans="1:9" ht="38.25">
      <c r="A37" s="1">
        <v>125652</v>
      </c>
      <c r="B37" s="4" t="s">
        <v>34</v>
      </c>
      <c r="C37" s="4" t="s">
        <v>474</v>
      </c>
      <c r="D37" s="4" t="s">
        <v>246</v>
      </c>
      <c r="E37" s="4" t="s">
        <v>204</v>
      </c>
      <c r="F37" s="4" t="s">
        <v>137</v>
      </c>
      <c r="G37" s="4" t="s">
        <v>247</v>
      </c>
      <c r="H37" s="4"/>
    </row>
    <row r="38" spans="1:9" ht="38.25">
      <c r="A38" s="1">
        <v>127173</v>
      </c>
      <c r="B38" s="4" t="s">
        <v>34</v>
      </c>
      <c r="C38" s="4" t="s">
        <v>474</v>
      </c>
      <c r="D38" s="4" t="s">
        <v>248</v>
      </c>
      <c r="E38" s="4" t="s">
        <v>206</v>
      </c>
      <c r="F38" s="4" t="s">
        <v>11</v>
      </c>
      <c r="G38" s="4" t="s">
        <v>647</v>
      </c>
      <c r="H38" s="4" t="s">
        <v>565</v>
      </c>
    </row>
    <row r="39" spans="1:9" ht="38.25">
      <c r="A39" s="1">
        <v>127697</v>
      </c>
      <c r="B39" s="4" t="s">
        <v>6</v>
      </c>
      <c r="C39" s="4" t="s">
        <v>6</v>
      </c>
      <c r="D39" s="4" t="s">
        <v>249</v>
      </c>
      <c r="E39" s="4" t="s">
        <v>206</v>
      </c>
      <c r="F39" s="4" t="s">
        <v>136</v>
      </c>
      <c r="G39" s="4" t="s">
        <v>648</v>
      </c>
      <c r="H39" s="4" t="s">
        <v>602</v>
      </c>
    </row>
    <row r="40" spans="1:9" ht="51">
      <c r="A40" s="1">
        <v>128059</v>
      </c>
      <c r="B40" s="4" t="s">
        <v>35</v>
      </c>
      <c r="C40" s="4" t="s">
        <v>15</v>
      </c>
      <c r="D40" s="4" t="s">
        <v>250</v>
      </c>
      <c r="E40" s="4" t="s">
        <v>208</v>
      </c>
      <c r="F40" s="4" t="s">
        <v>136</v>
      </c>
      <c r="G40" s="4" t="s">
        <v>626</v>
      </c>
      <c r="H40" s="4" t="s">
        <v>617</v>
      </c>
    </row>
    <row r="41" spans="1:9" ht="38.25">
      <c r="A41" s="1">
        <v>128065</v>
      </c>
      <c r="B41" s="4" t="s">
        <v>6</v>
      </c>
      <c r="C41" s="4" t="s">
        <v>6</v>
      </c>
      <c r="D41" s="4" t="s">
        <v>251</v>
      </c>
      <c r="E41" s="4" t="s">
        <v>210</v>
      </c>
      <c r="F41" s="4" t="s">
        <v>136</v>
      </c>
      <c r="G41" s="4" t="s">
        <v>499</v>
      </c>
      <c r="H41" s="4" t="s">
        <v>552</v>
      </c>
    </row>
    <row r="42" spans="1:9" ht="38.25">
      <c r="A42" s="1">
        <v>128067</v>
      </c>
      <c r="B42" s="4" t="s">
        <v>36</v>
      </c>
      <c r="C42" s="4" t="s">
        <v>25</v>
      </c>
      <c r="D42" s="4" t="s">
        <v>252</v>
      </c>
      <c r="E42" s="4" t="s">
        <v>210</v>
      </c>
      <c r="F42" s="4" t="s">
        <v>136</v>
      </c>
      <c r="G42" s="4" t="s">
        <v>500</v>
      </c>
      <c r="H42" s="4" t="s">
        <v>540</v>
      </c>
    </row>
    <row r="43" spans="1:9" ht="38.25">
      <c r="A43" s="1">
        <v>128072</v>
      </c>
      <c r="B43" s="4" t="s">
        <v>37</v>
      </c>
      <c r="C43" s="4" t="s">
        <v>38</v>
      </c>
      <c r="D43" s="4" t="s">
        <v>253</v>
      </c>
      <c r="E43" s="4" t="s">
        <v>210</v>
      </c>
      <c r="F43" s="4" t="s">
        <v>136</v>
      </c>
      <c r="G43" s="4" t="s">
        <v>501</v>
      </c>
      <c r="H43" s="4" t="s">
        <v>531</v>
      </c>
    </row>
    <row r="44" spans="1:9" ht="38.25">
      <c r="A44" s="1">
        <v>128075</v>
      </c>
      <c r="B44" s="4" t="s">
        <v>39</v>
      </c>
      <c r="C44" s="4" t="s">
        <v>40</v>
      </c>
      <c r="D44" s="4" t="s">
        <v>254</v>
      </c>
      <c r="E44" s="4" t="s">
        <v>210</v>
      </c>
      <c r="F44" s="4" t="s">
        <v>136</v>
      </c>
      <c r="G44" s="4" t="s">
        <v>515</v>
      </c>
      <c r="H44" s="4" t="s">
        <v>552</v>
      </c>
      <c r="I44" s="14" t="s">
        <v>514</v>
      </c>
    </row>
    <row r="45" spans="1:9" ht="25.5">
      <c r="A45" s="1">
        <v>128134</v>
      </c>
      <c r="B45" s="4" t="s">
        <v>6</v>
      </c>
      <c r="C45" s="4" t="s">
        <v>6</v>
      </c>
      <c r="D45" s="4" t="s">
        <v>255</v>
      </c>
      <c r="E45" s="4" t="s">
        <v>204</v>
      </c>
      <c r="F45" s="4" t="s">
        <v>137</v>
      </c>
      <c r="G45" s="4" t="s">
        <v>256</v>
      </c>
      <c r="H45" s="4"/>
    </row>
    <row r="46" spans="1:9" ht="38.25">
      <c r="A46" s="1">
        <v>128319</v>
      </c>
      <c r="B46" s="4" t="s">
        <v>41</v>
      </c>
      <c r="C46" s="4" t="s">
        <v>42</v>
      </c>
      <c r="D46" s="4" t="s">
        <v>257</v>
      </c>
      <c r="E46" s="4" t="s">
        <v>204</v>
      </c>
      <c r="F46" s="4" t="s">
        <v>137</v>
      </c>
      <c r="G46" s="4" t="s">
        <v>258</v>
      </c>
      <c r="H46" s="4"/>
    </row>
    <row r="47" spans="1:9" ht="89.25">
      <c r="A47" s="12">
        <v>128942</v>
      </c>
      <c r="B47" s="13" t="s">
        <v>43</v>
      </c>
      <c r="C47" s="13" t="s">
        <v>695</v>
      </c>
      <c r="D47" s="13" t="s">
        <v>259</v>
      </c>
      <c r="E47" s="13" t="s">
        <v>210</v>
      </c>
      <c r="F47" s="13" t="s">
        <v>11</v>
      </c>
      <c r="G47" s="13" t="s">
        <v>504</v>
      </c>
      <c r="H47" s="13" t="s">
        <v>583</v>
      </c>
    </row>
    <row r="48" spans="1:9" ht="25.5">
      <c r="A48" s="1">
        <v>128944</v>
      </c>
      <c r="B48" s="4" t="s">
        <v>44</v>
      </c>
      <c r="C48" s="4" t="s">
        <v>38</v>
      </c>
      <c r="D48" s="4" t="s">
        <v>260</v>
      </c>
      <c r="E48" s="4" t="s">
        <v>210</v>
      </c>
      <c r="F48" s="4" t="s">
        <v>136</v>
      </c>
      <c r="G48" s="4" t="s">
        <v>507</v>
      </c>
      <c r="H48" s="4" t="s">
        <v>531</v>
      </c>
    </row>
    <row r="49" spans="1:9" ht="38.25">
      <c r="A49" s="2">
        <v>128954</v>
      </c>
      <c r="B49" s="4" t="s">
        <v>45</v>
      </c>
      <c r="C49" s="4" t="s">
        <v>46</v>
      </c>
      <c r="D49" s="4" t="s">
        <v>261</v>
      </c>
      <c r="E49" s="4" t="s">
        <v>208</v>
      </c>
      <c r="F49" s="4" t="s">
        <v>137</v>
      </c>
      <c r="G49" s="4" t="s">
        <v>627</v>
      </c>
      <c r="H49" s="4"/>
    </row>
    <row r="50" spans="1:9" ht="38.25">
      <c r="A50" s="1">
        <v>128961</v>
      </c>
      <c r="B50" s="4" t="s">
        <v>47</v>
      </c>
      <c r="C50" s="4" t="s">
        <v>48</v>
      </c>
      <c r="D50" s="4" t="s">
        <v>262</v>
      </c>
      <c r="E50" s="4" t="s">
        <v>210</v>
      </c>
      <c r="F50" s="4" t="s">
        <v>136</v>
      </c>
      <c r="G50" s="4" t="s">
        <v>508</v>
      </c>
      <c r="H50" s="4" t="s">
        <v>552</v>
      </c>
    </row>
    <row r="51" spans="1:9" ht="76.5">
      <c r="A51" s="1">
        <v>129362</v>
      </c>
      <c r="B51" s="4" t="s">
        <v>49</v>
      </c>
      <c r="C51" s="4" t="s">
        <v>480</v>
      </c>
      <c r="D51" s="4" t="s">
        <v>263</v>
      </c>
      <c r="E51" s="4" t="s">
        <v>206</v>
      </c>
      <c r="F51" s="4" t="s">
        <v>11</v>
      </c>
      <c r="G51" s="4" t="s">
        <v>651</v>
      </c>
      <c r="H51" s="4" t="s">
        <v>565</v>
      </c>
    </row>
    <row r="52" spans="1:9" ht="25.5">
      <c r="A52" s="12">
        <v>129651</v>
      </c>
      <c r="B52" s="13" t="s">
        <v>6</v>
      </c>
      <c r="C52" s="13" t="s">
        <v>6</v>
      </c>
      <c r="D52" s="13" t="s">
        <v>264</v>
      </c>
      <c r="E52" s="13" t="s">
        <v>210</v>
      </c>
      <c r="F52" s="13" t="s">
        <v>136</v>
      </c>
      <c r="G52" s="13" t="s">
        <v>265</v>
      </c>
      <c r="H52" s="13" t="s">
        <v>553</v>
      </c>
    </row>
    <row r="53" spans="1:9" ht="51">
      <c r="A53" s="1">
        <v>129673</v>
      </c>
      <c r="B53" s="4" t="s">
        <v>50</v>
      </c>
      <c r="C53" s="4" t="s">
        <v>30</v>
      </c>
      <c r="D53" s="4" t="s">
        <v>266</v>
      </c>
      <c r="E53" s="4" t="s">
        <v>206</v>
      </c>
      <c r="F53" s="4" t="s">
        <v>136</v>
      </c>
      <c r="G53" s="4" t="s">
        <v>653</v>
      </c>
      <c r="H53" s="4" t="s">
        <v>652</v>
      </c>
    </row>
    <row r="54" spans="1:9" ht="25.5">
      <c r="A54" s="1">
        <v>129742</v>
      </c>
      <c r="B54" s="4" t="s">
        <v>51</v>
      </c>
      <c r="C54" s="4" t="s">
        <v>468</v>
      </c>
      <c r="D54" s="4" t="s">
        <v>267</v>
      </c>
      <c r="E54" s="4" t="s">
        <v>210</v>
      </c>
      <c r="F54" s="4" t="s">
        <v>136</v>
      </c>
      <c r="G54" s="4" t="s">
        <v>509</v>
      </c>
      <c r="H54" s="4" t="s">
        <v>552</v>
      </c>
    </row>
    <row r="55" spans="1:9" ht="38.25">
      <c r="A55" s="1">
        <v>129820</v>
      </c>
      <c r="B55" s="4" t="s">
        <v>52</v>
      </c>
      <c r="C55" s="4" t="s">
        <v>30</v>
      </c>
      <c r="D55" s="4" t="s">
        <v>268</v>
      </c>
      <c r="E55" s="4" t="s">
        <v>206</v>
      </c>
      <c r="F55" s="4" t="s">
        <v>11</v>
      </c>
      <c r="G55" s="4" t="s">
        <v>655</v>
      </c>
      <c r="H55" s="4"/>
      <c r="I55" s="10" t="s">
        <v>654</v>
      </c>
    </row>
    <row r="56" spans="1:9" ht="25.5">
      <c r="A56" s="1">
        <v>129841</v>
      </c>
      <c r="B56" s="4" t="s">
        <v>6</v>
      </c>
      <c r="C56" s="4" t="s">
        <v>6</v>
      </c>
      <c r="D56" s="17" t="s">
        <v>269</v>
      </c>
      <c r="E56" s="4" t="s">
        <v>206</v>
      </c>
      <c r="F56" s="4" t="s">
        <v>11</v>
      </c>
      <c r="G56" s="4" t="s">
        <v>270</v>
      </c>
      <c r="H56" s="4" t="s">
        <v>643</v>
      </c>
      <c r="I56" s="11" t="s">
        <v>656</v>
      </c>
    </row>
    <row r="57" spans="1:9" ht="38.25">
      <c r="A57" s="1">
        <v>130087</v>
      </c>
      <c r="B57" s="4" t="s">
        <v>53</v>
      </c>
      <c r="C57" s="4" t="s">
        <v>54</v>
      </c>
      <c r="D57" s="4" t="s">
        <v>271</v>
      </c>
      <c r="E57" s="4" t="s">
        <v>210</v>
      </c>
      <c r="F57" s="4" t="s">
        <v>136</v>
      </c>
      <c r="G57" s="4" t="s">
        <v>510</v>
      </c>
      <c r="H57" s="4" t="s">
        <v>533</v>
      </c>
    </row>
    <row r="58" spans="1:9" ht="38.25">
      <c r="A58" s="1">
        <v>130301</v>
      </c>
      <c r="B58" s="4" t="s">
        <v>55</v>
      </c>
      <c r="C58" s="4" t="s">
        <v>38</v>
      </c>
      <c r="D58" s="4" t="s">
        <v>272</v>
      </c>
      <c r="E58" s="4" t="s">
        <v>210</v>
      </c>
      <c r="F58" s="4" t="s">
        <v>136</v>
      </c>
      <c r="G58" s="4" t="s">
        <v>511</v>
      </c>
      <c r="H58" s="4" t="s">
        <v>533</v>
      </c>
    </row>
    <row r="59" spans="1:9" ht="38.25">
      <c r="A59" s="1">
        <v>130554</v>
      </c>
      <c r="B59" s="4" t="s">
        <v>56</v>
      </c>
      <c r="C59" s="4" t="s">
        <v>57</v>
      </c>
      <c r="D59" s="4" t="s">
        <v>273</v>
      </c>
      <c r="E59" s="4" t="s">
        <v>210</v>
      </c>
      <c r="F59" s="4" t="s">
        <v>136</v>
      </c>
      <c r="G59" s="4" t="s">
        <v>512</v>
      </c>
      <c r="H59" s="4" t="s">
        <v>540</v>
      </c>
    </row>
    <row r="60" spans="1:9" ht="38.25">
      <c r="A60" s="2">
        <v>130557</v>
      </c>
      <c r="B60" s="4" t="s">
        <v>58</v>
      </c>
      <c r="C60" s="4" t="s">
        <v>59</v>
      </c>
      <c r="D60" s="4" t="s">
        <v>274</v>
      </c>
      <c r="E60" s="4" t="s">
        <v>210</v>
      </c>
      <c r="F60" s="4" t="s">
        <v>136</v>
      </c>
      <c r="G60" s="4" t="s">
        <v>513</v>
      </c>
      <c r="H60" s="4" t="s">
        <v>540</v>
      </c>
    </row>
    <row r="61" spans="1:9" ht="51">
      <c r="A61" s="2">
        <v>130559</v>
      </c>
      <c r="B61" s="4" t="s">
        <v>60</v>
      </c>
      <c r="C61" s="4" t="s">
        <v>61</v>
      </c>
      <c r="D61" s="4" t="s">
        <v>275</v>
      </c>
      <c r="E61" s="4" t="s">
        <v>208</v>
      </c>
      <c r="F61" s="4" t="s">
        <v>136</v>
      </c>
      <c r="G61" s="4" t="s">
        <v>628</v>
      </c>
      <c r="H61" s="4" t="s">
        <v>617</v>
      </c>
    </row>
    <row r="62" spans="1:9" ht="25.5">
      <c r="A62" s="12">
        <v>130722</v>
      </c>
      <c r="B62" s="13" t="s">
        <v>62</v>
      </c>
      <c r="C62" s="13" t="s">
        <v>63</v>
      </c>
      <c r="D62" s="13" t="s">
        <v>276</v>
      </c>
      <c r="E62" s="13" t="s">
        <v>210</v>
      </c>
      <c r="F62" s="13" t="s">
        <v>136</v>
      </c>
      <c r="G62" s="13" t="s">
        <v>277</v>
      </c>
      <c r="H62" s="13" t="s">
        <v>553</v>
      </c>
    </row>
    <row r="63" spans="1:9" ht="38.25">
      <c r="A63" s="1">
        <v>130776</v>
      </c>
      <c r="B63" s="4" t="s">
        <v>64</v>
      </c>
      <c r="C63" s="4" t="s">
        <v>65</v>
      </c>
      <c r="D63" s="4" t="s">
        <v>278</v>
      </c>
      <c r="E63" s="4" t="s">
        <v>204</v>
      </c>
      <c r="F63" s="4" t="s">
        <v>137</v>
      </c>
      <c r="G63" s="4" t="s">
        <v>279</v>
      </c>
      <c r="H63" s="4"/>
    </row>
    <row r="64" spans="1:9" ht="38.25">
      <c r="A64" s="1">
        <v>130791</v>
      </c>
      <c r="B64" s="4" t="s">
        <v>6</v>
      </c>
      <c r="C64" s="4" t="s">
        <v>6</v>
      </c>
      <c r="D64" s="4" t="s">
        <v>280</v>
      </c>
      <c r="E64" s="4" t="s">
        <v>210</v>
      </c>
      <c r="F64" s="4" t="s">
        <v>11</v>
      </c>
      <c r="G64" s="4" t="s">
        <v>516</v>
      </c>
      <c r="H64" s="4" t="s">
        <v>534</v>
      </c>
    </row>
    <row r="65" spans="1:9" ht="38.25">
      <c r="A65" s="1">
        <v>130917</v>
      </c>
      <c r="B65" s="4" t="s">
        <v>6</v>
      </c>
      <c r="C65" s="4" t="s">
        <v>6</v>
      </c>
      <c r="D65" s="4" t="s">
        <v>281</v>
      </c>
      <c r="E65" s="4" t="s">
        <v>210</v>
      </c>
      <c r="F65" s="4" t="s">
        <v>136</v>
      </c>
      <c r="G65" s="4" t="s">
        <v>517</v>
      </c>
      <c r="H65" s="4" t="s">
        <v>533</v>
      </c>
      <c r="I65" s="11" t="s">
        <v>518</v>
      </c>
    </row>
    <row r="66" spans="1:9" ht="63">
      <c r="A66" s="12">
        <v>131019</v>
      </c>
      <c r="B66" s="13" t="s">
        <v>66</v>
      </c>
      <c r="C66" s="13" t="s">
        <v>519</v>
      </c>
      <c r="D66" s="13" t="s">
        <v>282</v>
      </c>
      <c r="E66" s="13" t="s">
        <v>210</v>
      </c>
      <c r="F66" s="13" t="s">
        <v>136</v>
      </c>
      <c r="G66" s="13" t="s">
        <v>283</v>
      </c>
      <c r="H66" s="13" t="s">
        <v>553</v>
      </c>
    </row>
    <row r="67" spans="1:9" ht="38.25">
      <c r="A67" s="1">
        <v>131150</v>
      </c>
      <c r="B67" s="4" t="s">
        <v>67</v>
      </c>
      <c r="C67" s="4" t="s">
        <v>68</v>
      </c>
      <c r="D67" s="4" t="s">
        <v>284</v>
      </c>
      <c r="E67" s="4" t="s">
        <v>204</v>
      </c>
      <c r="F67" s="4" t="s">
        <v>11</v>
      </c>
      <c r="G67" s="4" t="s">
        <v>285</v>
      </c>
      <c r="H67" s="4"/>
    </row>
    <row r="68" spans="1:9" ht="63.75">
      <c r="A68" s="1">
        <v>131154</v>
      </c>
      <c r="B68" s="4" t="s">
        <v>69</v>
      </c>
      <c r="C68" s="4" t="s">
        <v>70</v>
      </c>
      <c r="D68" s="4" t="s">
        <v>657</v>
      </c>
      <c r="E68" s="4" t="s">
        <v>206</v>
      </c>
      <c r="F68" s="4" t="s">
        <v>136</v>
      </c>
      <c r="G68" s="4" t="s">
        <v>286</v>
      </c>
      <c r="H68" s="4" t="s">
        <v>583</v>
      </c>
    </row>
    <row r="69" spans="1:9" ht="25.5">
      <c r="A69" s="1">
        <v>131265</v>
      </c>
      <c r="B69" s="4" t="s">
        <v>6</v>
      </c>
      <c r="C69" s="4" t="s">
        <v>6</v>
      </c>
      <c r="D69" s="4" t="s">
        <v>287</v>
      </c>
      <c r="E69" s="4" t="s">
        <v>206</v>
      </c>
      <c r="F69" s="4" t="s">
        <v>137</v>
      </c>
      <c r="G69" s="4" t="s">
        <v>288</v>
      </c>
      <c r="H69" s="4" t="s">
        <v>652</v>
      </c>
    </row>
    <row r="70" spans="1:9" ht="38.25">
      <c r="A70" s="1">
        <v>131360</v>
      </c>
      <c r="B70" s="4" t="s">
        <v>71</v>
      </c>
      <c r="C70" s="4" t="s">
        <v>72</v>
      </c>
      <c r="D70" s="4" t="s">
        <v>289</v>
      </c>
      <c r="E70" s="4" t="s">
        <v>208</v>
      </c>
      <c r="F70" s="4" t="s">
        <v>11</v>
      </c>
      <c r="G70" s="4" t="s">
        <v>629</v>
      </c>
      <c r="H70" s="4"/>
    </row>
    <row r="71" spans="1:9" ht="63.75">
      <c r="A71" s="2">
        <v>131439</v>
      </c>
      <c r="B71" s="4" t="s">
        <v>6</v>
      </c>
      <c r="C71" s="4" t="s">
        <v>6</v>
      </c>
      <c r="D71" s="4" t="s">
        <v>290</v>
      </c>
      <c r="E71" s="4" t="s">
        <v>210</v>
      </c>
      <c r="F71" s="4" t="s">
        <v>136</v>
      </c>
      <c r="G71" s="4" t="s">
        <v>520</v>
      </c>
      <c r="H71" s="4" t="s">
        <v>582</v>
      </c>
      <c r="I71" s="11" t="s">
        <v>522</v>
      </c>
    </row>
    <row r="72" spans="1:9" ht="38.25">
      <c r="A72" s="2">
        <v>131975</v>
      </c>
      <c r="B72" s="4" t="s">
        <v>6</v>
      </c>
      <c r="C72" s="4" t="s">
        <v>6</v>
      </c>
      <c r="D72" s="4" t="s">
        <v>291</v>
      </c>
      <c r="E72" s="4" t="s">
        <v>204</v>
      </c>
      <c r="F72" s="4" t="s">
        <v>137</v>
      </c>
      <c r="G72" s="4" t="s">
        <v>292</v>
      </c>
      <c r="H72" s="4"/>
    </row>
    <row r="73" spans="1:9" ht="38.25">
      <c r="A73" s="2">
        <v>132165</v>
      </c>
      <c r="B73" s="4" t="s">
        <v>73</v>
      </c>
      <c r="C73" s="4" t="s">
        <v>42</v>
      </c>
      <c r="D73" s="4" t="s">
        <v>293</v>
      </c>
      <c r="E73" s="4" t="s">
        <v>206</v>
      </c>
      <c r="F73" s="4" t="s">
        <v>136</v>
      </c>
      <c r="G73" s="4" t="s">
        <v>649</v>
      </c>
      <c r="H73" s="4" t="s">
        <v>643</v>
      </c>
    </row>
    <row r="74" spans="1:9" ht="127.5">
      <c r="A74" s="1">
        <v>132222</v>
      </c>
      <c r="B74" s="4" t="s">
        <v>74</v>
      </c>
      <c r="C74" s="4" t="s">
        <v>75</v>
      </c>
      <c r="D74" s="4" t="s">
        <v>294</v>
      </c>
      <c r="E74" s="4" t="s">
        <v>210</v>
      </c>
      <c r="F74" s="4" t="s">
        <v>136</v>
      </c>
      <c r="G74" s="4" t="s">
        <v>521</v>
      </c>
      <c r="H74" s="4" t="s">
        <v>539</v>
      </c>
      <c r="I74" s="11" t="s">
        <v>523</v>
      </c>
    </row>
    <row r="75" spans="1:9" ht="38.25">
      <c r="A75" s="1">
        <v>132237</v>
      </c>
      <c r="B75" s="4" t="s">
        <v>76</v>
      </c>
      <c r="C75" s="4" t="s">
        <v>77</v>
      </c>
      <c r="D75" s="4" t="s">
        <v>295</v>
      </c>
      <c r="E75" s="4" t="s">
        <v>210</v>
      </c>
      <c r="F75" s="4" t="s">
        <v>136</v>
      </c>
      <c r="G75" s="4" t="s">
        <v>525</v>
      </c>
      <c r="H75" s="4" t="s">
        <v>552</v>
      </c>
      <c r="I75" s="11" t="s">
        <v>528</v>
      </c>
    </row>
    <row r="76" spans="1:9" ht="38.25">
      <c r="A76" s="1">
        <v>132362</v>
      </c>
      <c r="B76" s="4" t="s">
        <v>78</v>
      </c>
      <c r="C76" s="4" t="s">
        <v>25</v>
      </c>
      <c r="D76" s="4" t="s">
        <v>296</v>
      </c>
      <c r="E76" s="4" t="s">
        <v>208</v>
      </c>
      <c r="F76" s="4" t="s">
        <v>136</v>
      </c>
      <c r="G76" s="4" t="s">
        <v>630</v>
      </c>
      <c r="H76" s="4" t="s">
        <v>617</v>
      </c>
    </row>
    <row r="77" spans="1:9" ht="38.25">
      <c r="A77" s="1">
        <v>132399</v>
      </c>
      <c r="B77" s="4" t="s">
        <v>79</v>
      </c>
      <c r="C77" s="4" t="s">
        <v>80</v>
      </c>
      <c r="D77" s="4" t="s">
        <v>297</v>
      </c>
      <c r="E77" s="4" t="s">
        <v>210</v>
      </c>
      <c r="F77" s="4" t="s">
        <v>136</v>
      </c>
      <c r="G77" s="4" t="s">
        <v>524</v>
      </c>
      <c r="H77" s="4" t="s">
        <v>602</v>
      </c>
    </row>
    <row r="78" spans="1:9" ht="38.25">
      <c r="A78" s="1">
        <v>132476</v>
      </c>
      <c r="B78" s="4" t="s">
        <v>6</v>
      </c>
      <c r="C78" s="4" t="s">
        <v>6</v>
      </c>
      <c r="D78" s="4" t="s">
        <v>298</v>
      </c>
      <c r="E78" s="4" t="s">
        <v>206</v>
      </c>
      <c r="F78" s="4" t="s">
        <v>11</v>
      </c>
      <c r="G78" s="4" t="s">
        <v>658</v>
      </c>
      <c r="H78" s="4" t="s">
        <v>544</v>
      </c>
    </row>
    <row r="79" spans="1:9" ht="63.75">
      <c r="A79" s="1">
        <v>132551</v>
      </c>
      <c r="B79" s="4" t="s">
        <v>81</v>
      </c>
      <c r="C79" s="4" t="s">
        <v>82</v>
      </c>
      <c r="D79" s="4" t="s">
        <v>299</v>
      </c>
      <c r="E79" s="4" t="s">
        <v>210</v>
      </c>
      <c r="F79" s="4" t="s">
        <v>11</v>
      </c>
      <c r="G79" s="4" t="s">
        <v>526</v>
      </c>
      <c r="H79" s="4" t="s">
        <v>552</v>
      </c>
    </row>
    <row r="80" spans="1:9" ht="51">
      <c r="A80" s="1">
        <v>132561</v>
      </c>
      <c r="B80" s="4" t="s">
        <v>83</v>
      </c>
      <c r="C80" s="4" t="s">
        <v>84</v>
      </c>
      <c r="D80" s="4" t="s">
        <v>300</v>
      </c>
      <c r="E80" s="4" t="s">
        <v>208</v>
      </c>
      <c r="F80" s="4" t="s">
        <v>136</v>
      </c>
      <c r="G80" s="4" t="s">
        <v>631</v>
      </c>
      <c r="H80" s="4" t="s">
        <v>533</v>
      </c>
    </row>
    <row r="81" spans="1:9" ht="51">
      <c r="A81" s="1">
        <v>132569</v>
      </c>
      <c r="B81" s="4" t="s">
        <v>83</v>
      </c>
      <c r="C81" s="4" t="s">
        <v>84</v>
      </c>
      <c r="D81" s="4" t="s">
        <v>301</v>
      </c>
      <c r="E81" s="4" t="s">
        <v>208</v>
      </c>
      <c r="F81" s="4" t="s">
        <v>136</v>
      </c>
      <c r="G81" s="4" t="s">
        <v>632</v>
      </c>
      <c r="H81" s="4" t="s">
        <v>533</v>
      </c>
    </row>
    <row r="82" spans="1:9" ht="51">
      <c r="A82" s="1">
        <v>132609</v>
      </c>
      <c r="B82" s="4" t="s">
        <v>85</v>
      </c>
      <c r="C82" s="15" t="s">
        <v>469</v>
      </c>
      <c r="D82" s="4" t="s">
        <v>302</v>
      </c>
      <c r="E82" s="4" t="s">
        <v>210</v>
      </c>
      <c r="F82" s="4" t="s">
        <v>136</v>
      </c>
      <c r="G82" s="4" t="s">
        <v>527</v>
      </c>
      <c r="H82" s="4" t="s">
        <v>552</v>
      </c>
    </row>
    <row r="83" spans="1:9" ht="25.5">
      <c r="A83" s="1">
        <v>132629</v>
      </c>
      <c r="B83" s="4" t="s">
        <v>86</v>
      </c>
      <c r="C83" s="4" t="s">
        <v>63</v>
      </c>
      <c r="D83" s="4" t="s">
        <v>303</v>
      </c>
      <c r="E83" s="4" t="s">
        <v>210</v>
      </c>
      <c r="F83" s="4" t="s">
        <v>136</v>
      </c>
      <c r="G83" s="4" t="s">
        <v>529</v>
      </c>
      <c r="H83" s="4" t="s">
        <v>540</v>
      </c>
    </row>
    <row r="84" spans="1:9" ht="38.25">
      <c r="A84" s="1">
        <v>132692</v>
      </c>
      <c r="B84" s="4" t="s">
        <v>87</v>
      </c>
      <c r="C84" s="4" t="s">
        <v>88</v>
      </c>
      <c r="D84" s="4" t="s">
        <v>304</v>
      </c>
      <c r="E84" s="4" t="s">
        <v>204</v>
      </c>
      <c r="F84" s="4" t="s">
        <v>136</v>
      </c>
      <c r="G84" s="4" t="s">
        <v>305</v>
      </c>
      <c r="H84" s="4"/>
    </row>
    <row r="85" spans="1:9" ht="38.25">
      <c r="A85" s="1">
        <v>132800</v>
      </c>
      <c r="B85" s="4" t="s">
        <v>89</v>
      </c>
      <c r="C85" s="4" t="s">
        <v>90</v>
      </c>
      <c r="D85" s="4" t="s">
        <v>306</v>
      </c>
      <c r="E85" s="4" t="s">
        <v>210</v>
      </c>
      <c r="F85" s="4" t="s">
        <v>136</v>
      </c>
      <c r="G85" s="4" t="s">
        <v>535</v>
      </c>
      <c r="H85" s="4" t="s">
        <v>540</v>
      </c>
    </row>
    <row r="86" spans="1:9" ht="25.5">
      <c r="A86" s="1">
        <v>132986</v>
      </c>
      <c r="B86" s="4" t="s">
        <v>6</v>
      </c>
      <c r="C86" s="4" t="s">
        <v>6</v>
      </c>
      <c r="D86" s="4" t="s">
        <v>307</v>
      </c>
      <c r="E86" s="5" t="s">
        <v>206</v>
      </c>
      <c r="F86" s="4" t="s">
        <v>11</v>
      </c>
      <c r="G86" s="4" t="s">
        <v>683</v>
      </c>
      <c r="H86" s="4" t="s">
        <v>681</v>
      </c>
    </row>
    <row r="87" spans="1:9" ht="51">
      <c r="A87" s="1">
        <v>133063</v>
      </c>
      <c r="B87" s="4" t="s">
        <v>91</v>
      </c>
      <c r="C87" s="4" t="s">
        <v>92</v>
      </c>
      <c r="D87" s="17" t="s">
        <v>308</v>
      </c>
      <c r="E87" s="4" t="s">
        <v>210</v>
      </c>
      <c r="F87" s="4" t="s">
        <v>11</v>
      </c>
      <c r="G87" s="4" t="s">
        <v>309</v>
      </c>
      <c r="H87" s="4" t="s">
        <v>531</v>
      </c>
      <c r="I87" s="11" t="s">
        <v>538</v>
      </c>
    </row>
    <row r="88" spans="1:9" ht="25.5">
      <c r="A88" s="1">
        <v>133185</v>
      </c>
      <c r="B88" s="4" t="s">
        <v>6</v>
      </c>
      <c r="C88" s="4" t="s">
        <v>6</v>
      </c>
      <c r="D88" s="4" t="s">
        <v>310</v>
      </c>
      <c r="E88" s="4" t="s">
        <v>210</v>
      </c>
      <c r="F88" s="4" t="s">
        <v>137</v>
      </c>
      <c r="G88" s="4" t="s">
        <v>536</v>
      </c>
      <c r="H88" s="4" t="s">
        <v>533</v>
      </c>
    </row>
    <row r="89" spans="1:9" ht="51">
      <c r="A89" s="2">
        <v>133253</v>
      </c>
      <c r="B89" s="4" t="s">
        <v>6</v>
      </c>
      <c r="C89" s="4" t="s">
        <v>470</v>
      </c>
      <c r="D89" s="4" t="s">
        <v>311</v>
      </c>
      <c r="E89" s="4" t="s">
        <v>210</v>
      </c>
      <c r="F89" s="4" t="s">
        <v>136</v>
      </c>
      <c r="G89" s="4" t="s">
        <v>537</v>
      </c>
      <c r="H89" s="4" t="s">
        <v>552</v>
      </c>
    </row>
    <row r="90" spans="1:9" ht="76.5">
      <c r="A90" s="1">
        <v>133302</v>
      </c>
      <c r="B90" s="4" t="s">
        <v>93</v>
      </c>
      <c r="C90" s="4" t="s">
        <v>13</v>
      </c>
      <c r="D90" s="4" t="s">
        <v>312</v>
      </c>
      <c r="E90" s="4" t="s">
        <v>210</v>
      </c>
      <c r="F90" s="4" t="s">
        <v>136</v>
      </c>
      <c r="G90" s="4" t="s">
        <v>543</v>
      </c>
      <c r="H90" s="4" t="s">
        <v>544</v>
      </c>
      <c r="I90" s="11" t="s">
        <v>542</v>
      </c>
    </row>
    <row r="91" spans="1:9" ht="38.25">
      <c r="A91" s="1">
        <v>133303</v>
      </c>
      <c r="B91" s="4" t="s">
        <v>6</v>
      </c>
      <c r="C91" s="4" t="s">
        <v>6</v>
      </c>
      <c r="D91" s="4" t="s">
        <v>313</v>
      </c>
      <c r="E91" s="4" t="s">
        <v>210</v>
      </c>
      <c r="F91" s="4" t="s">
        <v>136</v>
      </c>
      <c r="G91" s="4" t="s">
        <v>541</v>
      </c>
      <c r="H91" s="4" t="s">
        <v>533</v>
      </c>
    </row>
    <row r="92" spans="1:9" ht="76.5">
      <c r="A92" s="1">
        <v>133529</v>
      </c>
      <c r="B92" s="4" t="s">
        <v>6</v>
      </c>
      <c r="C92" s="4" t="s">
        <v>6</v>
      </c>
      <c r="D92" s="4" t="s">
        <v>314</v>
      </c>
      <c r="E92" s="4" t="s">
        <v>210</v>
      </c>
      <c r="F92" s="4" t="s">
        <v>136</v>
      </c>
      <c r="G92" s="4" t="s">
        <v>546</v>
      </c>
      <c r="H92" s="4" t="s">
        <v>552</v>
      </c>
      <c r="I92" s="11" t="s">
        <v>545</v>
      </c>
    </row>
    <row r="93" spans="1:9" ht="38.25">
      <c r="A93" s="1">
        <v>133554</v>
      </c>
      <c r="B93" s="4" t="s">
        <v>6</v>
      </c>
      <c r="C93" s="4" t="s">
        <v>6</v>
      </c>
      <c r="D93" s="4" t="s">
        <v>315</v>
      </c>
      <c r="E93" s="5" t="s">
        <v>206</v>
      </c>
      <c r="F93" s="4" t="s">
        <v>11</v>
      </c>
      <c r="G93" s="4" t="s">
        <v>316</v>
      </c>
      <c r="H93" s="4"/>
    </row>
    <row r="94" spans="1:9" ht="76.5">
      <c r="A94" s="1">
        <v>133762</v>
      </c>
      <c r="B94" s="4" t="s">
        <v>94</v>
      </c>
      <c r="C94" s="4" t="s">
        <v>63</v>
      </c>
      <c r="D94" s="4" t="s">
        <v>317</v>
      </c>
      <c r="E94" s="4" t="s">
        <v>210</v>
      </c>
      <c r="F94" s="4" t="s">
        <v>11</v>
      </c>
      <c r="G94" s="4" t="s">
        <v>548</v>
      </c>
      <c r="H94" s="4" t="s">
        <v>552</v>
      </c>
      <c r="I94" s="11" t="s">
        <v>547</v>
      </c>
    </row>
    <row r="95" spans="1:9" ht="38.25">
      <c r="A95" s="1">
        <v>134086</v>
      </c>
      <c r="B95" s="4" t="s">
        <v>95</v>
      </c>
      <c r="C95" s="4" t="s">
        <v>18</v>
      </c>
      <c r="D95" s="4" t="s">
        <v>318</v>
      </c>
      <c r="E95" s="4" t="s">
        <v>210</v>
      </c>
      <c r="F95" s="4" t="s">
        <v>136</v>
      </c>
      <c r="G95" s="4" t="s">
        <v>549</v>
      </c>
      <c r="H95" s="4" t="s">
        <v>544</v>
      </c>
    </row>
    <row r="96" spans="1:9" ht="51">
      <c r="A96" s="1">
        <v>134451</v>
      </c>
      <c r="B96" s="4" t="s">
        <v>96</v>
      </c>
      <c r="C96" s="4" t="s">
        <v>97</v>
      </c>
      <c r="D96" s="4" t="s">
        <v>319</v>
      </c>
      <c r="E96" s="4" t="s">
        <v>210</v>
      </c>
      <c r="F96" s="4" t="s">
        <v>136</v>
      </c>
      <c r="G96" s="4" t="s">
        <v>551</v>
      </c>
      <c r="H96" s="4" t="s">
        <v>552</v>
      </c>
      <c r="I96" s="11" t="s">
        <v>550</v>
      </c>
    </row>
    <row r="97" spans="1:9" ht="38.25">
      <c r="A97" s="1">
        <v>134577</v>
      </c>
      <c r="B97" s="4" t="s">
        <v>6</v>
      </c>
      <c r="C97" s="4" t="s">
        <v>471</v>
      </c>
      <c r="D97" s="4" t="s">
        <v>320</v>
      </c>
      <c r="E97" s="4" t="s">
        <v>210</v>
      </c>
      <c r="F97" s="4" t="s">
        <v>136</v>
      </c>
      <c r="G97" s="4" t="s">
        <v>554</v>
      </c>
      <c r="H97" s="4" t="s">
        <v>552</v>
      </c>
    </row>
    <row r="98" spans="1:9" ht="51">
      <c r="A98" s="1">
        <v>134608</v>
      </c>
      <c r="B98" s="4" t="s">
        <v>98</v>
      </c>
      <c r="C98" s="4" t="s">
        <v>99</v>
      </c>
      <c r="D98" s="4" t="s">
        <v>321</v>
      </c>
      <c r="E98" s="5" t="s">
        <v>210</v>
      </c>
      <c r="F98" s="4" t="s">
        <v>136</v>
      </c>
      <c r="G98" s="4" t="s">
        <v>682</v>
      </c>
      <c r="H98" s="4" t="s">
        <v>617</v>
      </c>
    </row>
    <row r="99" spans="1:9" ht="25.5">
      <c r="A99" s="1">
        <v>134731</v>
      </c>
      <c r="B99" s="4" t="s">
        <v>100</v>
      </c>
      <c r="C99" s="4" t="s">
        <v>5</v>
      </c>
      <c r="D99" s="4" t="s">
        <v>322</v>
      </c>
      <c r="E99" s="4" t="s">
        <v>208</v>
      </c>
      <c r="F99" s="4" t="s">
        <v>136</v>
      </c>
      <c r="G99" s="4" t="s">
        <v>633</v>
      </c>
      <c r="H99" s="4" t="s">
        <v>583</v>
      </c>
    </row>
    <row r="100" spans="1:9" ht="38.25">
      <c r="A100" s="1">
        <v>134820</v>
      </c>
      <c r="B100" s="4" t="s">
        <v>101</v>
      </c>
      <c r="C100" s="4" t="s">
        <v>102</v>
      </c>
      <c r="D100" s="4" t="s">
        <v>323</v>
      </c>
      <c r="E100" s="4" t="s">
        <v>206</v>
      </c>
      <c r="F100" s="4" t="s">
        <v>136</v>
      </c>
      <c r="G100" s="4" t="s">
        <v>324</v>
      </c>
      <c r="H100" s="4" t="s">
        <v>652</v>
      </c>
    </row>
    <row r="101" spans="1:9" ht="38.25">
      <c r="A101" s="1">
        <v>134844</v>
      </c>
      <c r="B101" s="4" t="s">
        <v>103</v>
      </c>
      <c r="C101" s="4" t="s">
        <v>104</v>
      </c>
      <c r="D101" s="4" t="s">
        <v>325</v>
      </c>
      <c r="E101" s="4" t="s">
        <v>206</v>
      </c>
      <c r="F101" s="4" t="s">
        <v>136</v>
      </c>
      <c r="G101" s="4" t="s">
        <v>659</v>
      </c>
      <c r="H101" s="4" t="s">
        <v>565</v>
      </c>
    </row>
    <row r="102" spans="1:9" ht="38.25">
      <c r="A102" s="1">
        <v>134954</v>
      </c>
      <c r="B102" s="4" t="s">
        <v>6</v>
      </c>
      <c r="C102" s="4" t="s">
        <v>6</v>
      </c>
      <c r="D102" s="4" t="s">
        <v>326</v>
      </c>
      <c r="E102" s="4" t="s">
        <v>204</v>
      </c>
      <c r="F102" s="4" t="s">
        <v>137</v>
      </c>
      <c r="G102" s="4" t="s">
        <v>327</v>
      </c>
      <c r="H102" s="4"/>
    </row>
    <row r="103" spans="1:9" ht="38.25">
      <c r="A103" s="1">
        <v>135118</v>
      </c>
      <c r="B103" s="4" t="s">
        <v>6</v>
      </c>
      <c r="C103" s="4" t="s">
        <v>6</v>
      </c>
      <c r="D103" s="4" t="s">
        <v>328</v>
      </c>
      <c r="E103" s="4" t="s">
        <v>210</v>
      </c>
      <c r="F103" s="4" t="s">
        <v>136</v>
      </c>
      <c r="G103" s="4" t="s">
        <v>558</v>
      </c>
      <c r="H103" s="4" t="s">
        <v>552</v>
      </c>
      <c r="I103" s="11" t="s">
        <v>557</v>
      </c>
    </row>
    <row r="104" spans="1:9" ht="38.25">
      <c r="A104" s="1">
        <v>135329</v>
      </c>
      <c r="B104" s="4" t="s">
        <v>105</v>
      </c>
      <c r="C104" s="4" t="s">
        <v>90</v>
      </c>
      <c r="D104" s="4" t="s">
        <v>329</v>
      </c>
      <c r="E104" s="4" t="s">
        <v>210</v>
      </c>
      <c r="F104" s="4" t="s">
        <v>136</v>
      </c>
      <c r="G104" s="4" t="s">
        <v>555</v>
      </c>
      <c r="H104" s="4" t="s">
        <v>540</v>
      </c>
    </row>
    <row r="105" spans="1:9" ht="38.25">
      <c r="A105" s="1">
        <v>135344</v>
      </c>
      <c r="B105" s="4" t="s">
        <v>6</v>
      </c>
      <c r="C105" s="4" t="s">
        <v>6</v>
      </c>
      <c r="D105" s="4" t="s">
        <v>330</v>
      </c>
      <c r="E105" s="4" t="s">
        <v>210</v>
      </c>
      <c r="F105" s="4" t="s">
        <v>136</v>
      </c>
      <c r="G105" s="4" t="s">
        <v>556</v>
      </c>
      <c r="H105" s="4" t="s">
        <v>552</v>
      </c>
    </row>
    <row r="106" spans="1:9" ht="25.5">
      <c r="A106" s="12">
        <v>135410</v>
      </c>
      <c r="B106" s="13" t="s">
        <v>6</v>
      </c>
      <c r="C106" s="13" t="s">
        <v>6</v>
      </c>
      <c r="D106" s="13" t="s">
        <v>331</v>
      </c>
      <c r="E106" s="13" t="s">
        <v>208</v>
      </c>
      <c r="F106" s="13" t="s">
        <v>11</v>
      </c>
      <c r="G106" s="13" t="s">
        <v>332</v>
      </c>
      <c r="H106" s="13" t="s">
        <v>553</v>
      </c>
    </row>
    <row r="107" spans="1:9" ht="38.25">
      <c r="A107" s="12">
        <v>135573</v>
      </c>
      <c r="B107" s="13" t="s">
        <v>6</v>
      </c>
      <c r="C107" s="13" t="s">
        <v>6</v>
      </c>
      <c r="D107" s="13" t="s">
        <v>333</v>
      </c>
      <c r="E107" s="13" t="s">
        <v>210</v>
      </c>
      <c r="F107" s="13" t="s">
        <v>136</v>
      </c>
      <c r="G107" s="13" t="s">
        <v>334</v>
      </c>
      <c r="H107" s="13" t="s">
        <v>553</v>
      </c>
    </row>
    <row r="108" spans="1:9" ht="38.25">
      <c r="A108" s="1">
        <v>135636</v>
      </c>
      <c r="B108" s="4" t="s">
        <v>6</v>
      </c>
      <c r="C108" s="4" t="s">
        <v>6</v>
      </c>
      <c r="D108" s="4" t="s">
        <v>335</v>
      </c>
      <c r="E108" s="4" t="s">
        <v>204</v>
      </c>
      <c r="F108" s="4" t="s">
        <v>137</v>
      </c>
      <c r="G108" s="4" t="s">
        <v>336</v>
      </c>
      <c r="H108" s="4"/>
    </row>
    <row r="109" spans="1:9" ht="38.25">
      <c r="A109" s="12">
        <v>135688</v>
      </c>
      <c r="B109" s="13" t="s">
        <v>6</v>
      </c>
      <c r="C109" s="13" t="s">
        <v>559</v>
      </c>
      <c r="D109" s="13" t="s">
        <v>337</v>
      </c>
      <c r="E109" s="13" t="s">
        <v>210</v>
      </c>
      <c r="F109" s="13" t="s">
        <v>136</v>
      </c>
      <c r="G109" s="13" t="s">
        <v>338</v>
      </c>
      <c r="H109" s="13" t="s">
        <v>553</v>
      </c>
    </row>
    <row r="110" spans="1:9" ht="25.5">
      <c r="A110" s="1">
        <v>136193</v>
      </c>
      <c r="B110" s="4" t="s">
        <v>6</v>
      </c>
      <c r="C110" s="4" t="s">
        <v>6</v>
      </c>
      <c r="D110" s="4" t="s">
        <v>339</v>
      </c>
      <c r="E110" s="4" t="s">
        <v>206</v>
      </c>
      <c r="F110" s="4" t="s">
        <v>136</v>
      </c>
      <c r="G110" s="4" t="s">
        <v>660</v>
      </c>
      <c r="H110" s="4" t="s">
        <v>583</v>
      </c>
      <c r="I110" s="10" t="s">
        <v>661</v>
      </c>
    </row>
    <row r="111" spans="1:9" ht="63.75">
      <c r="A111" s="1">
        <v>136257</v>
      </c>
      <c r="B111" s="4" t="s">
        <v>106</v>
      </c>
      <c r="C111" s="4" t="s">
        <v>63</v>
      </c>
      <c r="D111" s="4" t="s">
        <v>340</v>
      </c>
      <c r="E111" s="4" t="s">
        <v>210</v>
      </c>
      <c r="F111" s="4" t="s">
        <v>11</v>
      </c>
      <c r="G111" s="4" t="s">
        <v>561</v>
      </c>
      <c r="H111" s="4" t="s">
        <v>544</v>
      </c>
      <c r="I111" s="11" t="s">
        <v>560</v>
      </c>
    </row>
    <row r="112" spans="1:9" ht="51">
      <c r="A112" s="2">
        <v>136814</v>
      </c>
      <c r="B112" s="4" t="s">
        <v>107</v>
      </c>
      <c r="C112" s="4" t="s">
        <v>108</v>
      </c>
      <c r="D112" s="4" t="s">
        <v>341</v>
      </c>
      <c r="E112" s="5" t="s">
        <v>210</v>
      </c>
      <c r="F112" s="4" t="s">
        <v>136</v>
      </c>
      <c r="G112" s="4" t="s">
        <v>562</v>
      </c>
      <c r="H112" s="4" t="s">
        <v>583</v>
      </c>
    </row>
    <row r="113" spans="1:9" ht="63.75">
      <c r="A113" s="1">
        <v>137061</v>
      </c>
      <c r="B113" s="4" t="s">
        <v>109</v>
      </c>
      <c r="C113" s="4" t="s">
        <v>110</v>
      </c>
      <c r="D113" s="4" t="s">
        <v>342</v>
      </c>
      <c r="E113" s="4" t="s">
        <v>204</v>
      </c>
      <c r="F113" s="4" t="s">
        <v>137</v>
      </c>
      <c r="G113" s="4" t="s">
        <v>343</v>
      </c>
      <c r="H113" s="4"/>
    </row>
    <row r="114" spans="1:9" ht="51">
      <c r="A114" s="1">
        <v>137456</v>
      </c>
      <c r="B114" s="4" t="s">
        <v>111</v>
      </c>
      <c r="C114" s="4" t="s">
        <v>112</v>
      </c>
      <c r="D114" s="4" t="s">
        <v>344</v>
      </c>
      <c r="E114" s="5" t="s">
        <v>210</v>
      </c>
      <c r="F114" s="4" t="s">
        <v>136</v>
      </c>
      <c r="G114" s="4" t="s">
        <v>563</v>
      </c>
      <c r="H114" s="4"/>
    </row>
    <row r="115" spans="1:9" ht="51">
      <c r="A115" s="1">
        <v>137476</v>
      </c>
      <c r="B115" s="4" t="s">
        <v>113</v>
      </c>
      <c r="C115" s="4" t="s">
        <v>63</v>
      </c>
      <c r="D115" s="4" t="s">
        <v>345</v>
      </c>
      <c r="E115" s="4" t="s">
        <v>210</v>
      </c>
      <c r="F115" s="4" t="s">
        <v>136</v>
      </c>
      <c r="G115" s="4" t="s">
        <v>564</v>
      </c>
      <c r="H115" s="4" t="s">
        <v>565</v>
      </c>
    </row>
    <row r="116" spans="1:9" ht="38.25">
      <c r="A116" s="1">
        <v>137764</v>
      </c>
      <c r="B116" s="4" t="s">
        <v>114</v>
      </c>
      <c r="C116" s="4" t="s">
        <v>63</v>
      </c>
      <c r="D116" s="4" t="s">
        <v>346</v>
      </c>
      <c r="E116" s="4" t="s">
        <v>210</v>
      </c>
      <c r="F116" s="4" t="s">
        <v>136</v>
      </c>
      <c r="G116" s="4" t="s">
        <v>566</v>
      </c>
      <c r="H116" s="4" t="s">
        <v>544</v>
      </c>
    </row>
    <row r="117" spans="1:9" ht="38.25">
      <c r="A117" s="1">
        <v>138077</v>
      </c>
      <c r="B117" s="4" t="s">
        <v>115</v>
      </c>
      <c r="C117" s="4" t="s">
        <v>80</v>
      </c>
      <c r="D117" s="4" t="s">
        <v>347</v>
      </c>
      <c r="E117" s="4" t="s">
        <v>210</v>
      </c>
      <c r="F117" s="4" t="s">
        <v>11</v>
      </c>
      <c r="G117" s="4" t="s">
        <v>567</v>
      </c>
      <c r="H117" s="4" t="s">
        <v>533</v>
      </c>
    </row>
    <row r="118" spans="1:9" ht="38.25">
      <c r="A118" s="1">
        <v>138112</v>
      </c>
      <c r="B118" s="4" t="s">
        <v>116</v>
      </c>
      <c r="C118" s="4" t="s">
        <v>108</v>
      </c>
      <c r="D118" s="4" t="s">
        <v>348</v>
      </c>
      <c r="E118" s="4" t="s">
        <v>206</v>
      </c>
      <c r="F118" s="4" t="s">
        <v>11</v>
      </c>
      <c r="G118" s="4" t="s">
        <v>662</v>
      </c>
      <c r="H118" s="4" t="s">
        <v>663</v>
      </c>
    </row>
    <row r="119" spans="1:9" ht="51">
      <c r="A119" s="1">
        <v>138157</v>
      </c>
      <c r="B119" s="4" t="s">
        <v>117</v>
      </c>
      <c r="C119" s="4" t="s">
        <v>118</v>
      </c>
      <c r="D119" s="4" t="s">
        <v>665</v>
      </c>
      <c r="E119" s="4" t="s">
        <v>206</v>
      </c>
      <c r="F119" s="4" t="s">
        <v>136</v>
      </c>
      <c r="G119" s="4" t="s">
        <v>349</v>
      </c>
      <c r="H119" s="4" t="s">
        <v>565</v>
      </c>
      <c r="I119" s="11" t="s">
        <v>668</v>
      </c>
    </row>
    <row r="120" spans="1:9" ht="38.25">
      <c r="A120" s="1">
        <v>138188</v>
      </c>
      <c r="B120" s="4" t="s">
        <v>119</v>
      </c>
      <c r="C120" s="4" t="s">
        <v>481</v>
      </c>
      <c r="D120" s="4" t="s">
        <v>350</v>
      </c>
      <c r="E120" s="5" t="s">
        <v>206</v>
      </c>
      <c r="F120" s="4" t="s">
        <v>11</v>
      </c>
      <c r="G120" s="4" t="s">
        <v>351</v>
      </c>
      <c r="H120" s="4" t="s">
        <v>681</v>
      </c>
    </row>
    <row r="121" spans="1:9" ht="51">
      <c r="A121" s="1">
        <v>138224</v>
      </c>
      <c r="B121" s="4" t="s">
        <v>120</v>
      </c>
      <c r="C121" s="4" t="s">
        <v>121</v>
      </c>
      <c r="D121" s="4" t="s">
        <v>352</v>
      </c>
      <c r="E121" s="4" t="s">
        <v>210</v>
      </c>
      <c r="F121" s="4" t="s">
        <v>136</v>
      </c>
      <c r="G121" s="4" t="s">
        <v>568</v>
      </c>
      <c r="H121" s="4" t="s">
        <v>565</v>
      </c>
    </row>
    <row r="122" spans="1:9" ht="102">
      <c r="A122" s="1">
        <v>138412</v>
      </c>
      <c r="B122" s="4" t="s">
        <v>122</v>
      </c>
      <c r="C122" s="4" t="s">
        <v>90</v>
      </c>
      <c r="D122" s="4" t="s">
        <v>353</v>
      </c>
      <c r="E122" s="4" t="s">
        <v>210</v>
      </c>
      <c r="F122" s="4" t="s">
        <v>136</v>
      </c>
      <c r="G122" s="4" t="s">
        <v>569</v>
      </c>
      <c r="H122" s="4" t="s">
        <v>544</v>
      </c>
      <c r="I122" s="11" t="s">
        <v>570</v>
      </c>
    </row>
    <row r="123" spans="1:9" ht="51">
      <c r="A123" s="1">
        <v>138489</v>
      </c>
      <c r="B123" s="4" t="s">
        <v>123</v>
      </c>
      <c r="C123" s="4" t="s">
        <v>124</v>
      </c>
      <c r="D123" s="4" t="s">
        <v>354</v>
      </c>
      <c r="E123" s="4" t="s">
        <v>206</v>
      </c>
      <c r="F123" s="4" t="s">
        <v>136</v>
      </c>
      <c r="G123" s="4" t="s">
        <v>666</v>
      </c>
      <c r="H123" s="4" t="s">
        <v>565</v>
      </c>
    </row>
    <row r="124" spans="1:9" ht="38.25">
      <c r="A124" s="1">
        <v>138715</v>
      </c>
      <c r="B124" s="4" t="s">
        <v>125</v>
      </c>
      <c r="C124" s="4" t="s">
        <v>126</v>
      </c>
      <c r="D124" s="4" t="s">
        <v>355</v>
      </c>
      <c r="E124" s="4" t="s">
        <v>204</v>
      </c>
      <c r="F124" s="4" t="s">
        <v>136</v>
      </c>
      <c r="G124" s="4" t="s">
        <v>356</v>
      </c>
      <c r="H124" s="4"/>
    </row>
    <row r="125" spans="1:9" ht="38.25">
      <c r="A125" s="2">
        <v>139167</v>
      </c>
      <c r="B125" s="4" t="s">
        <v>127</v>
      </c>
      <c r="C125" s="4" t="s">
        <v>42</v>
      </c>
      <c r="D125" s="4" t="s">
        <v>357</v>
      </c>
      <c r="E125" s="4" t="s">
        <v>210</v>
      </c>
      <c r="F125" s="4" t="s">
        <v>136</v>
      </c>
      <c r="G125" s="4" t="s">
        <v>571</v>
      </c>
      <c r="H125" s="4" t="s">
        <v>565</v>
      </c>
    </row>
    <row r="126" spans="1:9" ht="51">
      <c r="A126" s="1">
        <v>139183</v>
      </c>
      <c r="B126" s="4" t="s">
        <v>128</v>
      </c>
      <c r="C126" s="4" t="s">
        <v>40</v>
      </c>
      <c r="D126" s="4" t="s">
        <v>358</v>
      </c>
      <c r="E126" s="4" t="s">
        <v>208</v>
      </c>
      <c r="F126" s="4" t="s">
        <v>136</v>
      </c>
      <c r="G126" s="4" t="s">
        <v>634</v>
      </c>
      <c r="H126" s="4" t="s">
        <v>617</v>
      </c>
    </row>
    <row r="127" spans="1:9" ht="51">
      <c r="A127" s="1">
        <v>139222</v>
      </c>
      <c r="B127" s="4" t="s">
        <v>125</v>
      </c>
      <c r="C127" s="4" t="s">
        <v>475</v>
      </c>
      <c r="D127" s="4" t="s">
        <v>359</v>
      </c>
      <c r="E127" s="4" t="s">
        <v>204</v>
      </c>
      <c r="F127" s="4" t="s">
        <v>136</v>
      </c>
      <c r="G127" s="4" t="s">
        <v>360</v>
      </c>
      <c r="H127" s="4"/>
    </row>
    <row r="128" spans="1:9" ht="38.25">
      <c r="A128" s="1">
        <v>139374</v>
      </c>
      <c r="B128" s="4" t="s">
        <v>129</v>
      </c>
      <c r="C128" s="4" t="s">
        <v>130</v>
      </c>
      <c r="D128" s="4" t="s">
        <v>361</v>
      </c>
      <c r="E128" s="4" t="s">
        <v>210</v>
      </c>
      <c r="F128" s="4" t="s">
        <v>136</v>
      </c>
      <c r="G128" s="4" t="s">
        <v>572</v>
      </c>
      <c r="H128" s="4" t="s">
        <v>565</v>
      </c>
    </row>
    <row r="129" spans="1:9" ht="63.75">
      <c r="A129" s="12">
        <v>139424</v>
      </c>
      <c r="B129" s="13" t="s">
        <v>131</v>
      </c>
      <c r="C129" s="13" t="s">
        <v>573</v>
      </c>
      <c r="D129" s="13" t="s">
        <v>362</v>
      </c>
      <c r="E129" s="13" t="s">
        <v>210</v>
      </c>
      <c r="F129" s="13" t="s">
        <v>136</v>
      </c>
      <c r="G129" s="13" t="s">
        <v>363</v>
      </c>
      <c r="H129" s="13" t="s">
        <v>553</v>
      </c>
    </row>
    <row r="130" spans="1:9" ht="38.25">
      <c r="A130" s="1">
        <v>140266</v>
      </c>
      <c r="B130" s="4" t="s">
        <v>132</v>
      </c>
      <c r="C130" s="4" t="s">
        <v>63</v>
      </c>
      <c r="D130" s="4" t="s">
        <v>364</v>
      </c>
      <c r="E130" s="4" t="s">
        <v>204</v>
      </c>
      <c r="F130" s="4" t="s">
        <v>136</v>
      </c>
      <c r="G130" s="4" t="s">
        <v>365</v>
      </c>
      <c r="H130" s="4"/>
    </row>
    <row r="131" spans="1:9" ht="38.25">
      <c r="A131" s="1">
        <v>140464</v>
      </c>
      <c r="B131" s="4" t="s">
        <v>133</v>
      </c>
      <c r="C131" s="4" t="s">
        <v>42</v>
      </c>
      <c r="D131" s="4" t="s">
        <v>366</v>
      </c>
      <c r="E131" s="4" t="s">
        <v>204</v>
      </c>
      <c r="F131" s="4" t="s">
        <v>11</v>
      </c>
      <c r="G131" s="4" t="s">
        <v>367</v>
      </c>
      <c r="H131" s="4"/>
    </row>
    <row r="132" spans="1:9" ht="63">
      <c r="A132" s="12">
        <v>140759</v>
      </c>
      <c r="B132" s="13" t="s">
        <v>6</v>
      </c>
      <c r="C132" s="13" t="s">
        <v>505</v>
      </c>
      <c r="D132" s="13" t="s">
        <v>368</v>
      </c>
      <c r="E132" s="13" t="s">
        <v>206</v>
      </c>
      <c r="F132" s="13" t="s">
        <v>11</v>
      </c>
      <c r="G132" s="13" t="s">
        <v>369</v>
      </c>
      <c r="H132" s="13" t="s">
        <v>553</v>
      </c>
    </row>
    <row r="133" spans="1:9" ht="38.25">
      <c r="A133" s="1">
        <v>140903</v>
      </c>
      <c r="B133" s="4" t="s">
        <v>141</v>
      </c>
      <c r="C133" s="4" t="s">
        <v>42</v>
      </c>
      <c r="D133" s="4" t="s">
        <v>370</v>
      </c>
      <c r="E133" s="4" t="s">
        <v>204</v>
      </c>
      <c r="F133" s="4" t="s">
        <v>136</v>
      </c>
      <c r="G133" s="4" t="s">
        <v>371</v>
      </c>
      <c r="H133" s="4"/>
    </row>
    <row r="134" spans="1:9" ht="38.25">
      <c r="A134" s="1">
        <v>141046</v>
      </c>
      <c r="B134" s="4" t="s">
        <v>142</v>
      </c>
      <c r="C134" s="4" t="s">
        <v>143</v>
      </c>
      <c r="D134" s="4" t="s">
        <v>372</v>
      </c>
      <c r="E134" s="4" t="s">
        <v>206</v>
      </c>
      <c r="F134" s="4" t="s">
        <v>136</v>
      </c>
      <c r="G134" s="4" t="s">
        <v>667</v>
      </c>
      <c r="H134" s="4" t="s">
        <v>565</v>
      </c>
    </row>
    <row r="135" spans="1:9" ht="38.25">
      <c r="A135" s="1">
        <v>141111</v>
      </c>
      <c r="B135" s="4" t="s">
        <v>144</v>
      </c>
      <c r="C135" s="4" t="s">
        <v>145</v>
      </c>
      <c r="D135" s="4" t="s">
        <v>373</v>
      </c>
      <c r="E135" s="4" t="s">
        <v>206</v>
      </c>
      <c r="F135" s="4" t="s">
        <v>136</v>
      </c>
      <c r="G135" s="4" t="s">
        <v>672</v>
      </c>
      <c r="H135" s="4" t="s">
        <v>652</v>
      </c>
    </row>
    <row r="136" spans="1:9" ht="63.75">
      <c r="A136" s="2">
        <v>141118</v>
      </c>
      <c r="B136" s="4" t="s">
        <v>146</v>
      </c>
      <c r="C136" s="4" t="s">
        <v>147</v>
      </c>
      <c r="D136" s="4" t="s">
        <v>374</v>
      </c>
      <c r="E136" s="4" t="s">
        <v>210</v>
      </c>
      <c r="F136" s="4" t="s">
        <v>136</v>
      </c>
      <c r="G136" s="4" t="s">
        <v>575</v>
      </c>
      <c r="H136" s="4" t="s">
        <v>544</v>
      </c>
      <c r="I136" s="11" t="s">
        <v>574</v>
      </c>
    </row>
    <row r="137" spans="1:9" ht="102">
      <c r="A137" s="1">
        <v>141196</v>
      </c>
      <c r="B137" s="4" t="s">
        <v>148</v>
      </c>
      <c r="C137" s="4" t="s">
        <v>149</v>
      </c>
      <c r="D137" s="4" t="s">
        <v>579</v>
      </c>
      <c r="E137" s="5" t="s">
        <v>210</v>
      </c>
      <c r="F137" s="4" t="s">
        <v>136</v>
      </c>
      <c r="G137" s="4" t="s">
        <v>578</v>
      </c>
      <c r="H137" s="4"/>
      <c r="I137" s="11" t="s">
        <v>577</v>
      </c>
    </row>
    <row r="138" spans="1:9" ht="25.5">
      <c r="A138" s="1">
        <v>141217</v>
      </c>
      <c r="B138" s="4" t="s">
        <v>6</v>
      </c>
      <c r="C138" s="4" t="s">
        <v>6</v>
      </c>
      <c r="D138" s="4" t="s">
        <v>375</v>
      </c>
      <c r="E138" s="4" t="s">
        <v>210</v>
      </c>
      <c r="F138" s="4" t="s">
        <v>136</v>
      </c>
      <c r="G138" s="4" t="s">
        <v>576</v>
      </c>
      <c r="H138" s="4" t="s">
        <v>544</v>
      </c>
    </row>
    <row r="139" spans="1:9" ht="63.75">
      <c r="A139" s="1">
        <v>141232</v>
      </c>
      <c r="B139" s="4" t="s">
        <v>150</v>
      </c>
      <c r="C139" s="4" t="s">
        <v>40</v>
      </c>
      <c r="D139" s="4" t="s">
        <v>376</v>
      </c>
      <c r="E139" s="4" t="s">
        <v>210</v>
      </c>
      <c r="F139" s="4" t="s">
        <v>136</v>
      </c>
      <c r="G139" s="4" t="s">
        <v>581</v>
      </c>
      <c r="H139" s="4" t="s">
        <v>602</v>
      </c>
      <c r="I139" s="11" t="s">
        <v>584</v>
      </c>
    </row>
    <row r="140" spans="1:9" ht="38.25">
      <c r="A140" s="1">
        <v>141283</v>
      </c>
      <c r="B140" s="4" t="s">
        <v>151</v>
      </c>
      <c r="C140" s="4" t="s">
        <v>152</v>
      </c>
      <c r="D140" s="4" t="s">
        <v>377</v>
      </c>
      <c r="E140" s="4" t="s">
        <v>210</v>
      </c>
      <c r="F140" s="4" t="s">
        <v>136</v>
      </c>
      <c r="G140" s="4" t="s">
        <v>580</v>
      </c>
      <c r="H140" s="4" t="s">
        <v>531</v>
      </c>
    </row>
    <row r="141" spans="1:9" ht="38.25">
      <c r="A141" s="1">
        <v>141375</v>
      </c>
      <c r="B141" s="4" t="s">
        <v>153</v>
      </c>
      <c r="C141" s="4" t="s">
        <v>63</v>
      </c>
      <c r="D141" s="4" t="s">
        <v>378</v>
      </c>
      <c r="E141" s="4" t="s">
        <v>210</v>
      </c>
      <c r="F141" s="4" t="s">
        <v>136</v>
      </c>
      <c r="G141" s="4" t="s">
        <v>585</v>
      </c>
      <c r="H141" s="4" t="s">
        <v>544</v>
      </c>
    </row>
    <row r="142" spans="1:9" ht="51">
      <c r="A142" s="1">
        <v>141431</v>
      </c>
      <c r="B142" s="4" t="s">
        <v>154</v>
      </c>
      <c r="C142" s="4" t="s">
        <v>478</v>
      </c>
      <c r="D142" s="4" t="s">
        <v>379</v>
      </c>
      <c r="E142" s="4" t="s">
        <v>208</v>
      </c>
      <c r="F142" s="4" t="s">
        <v>136</v>
      </c>
      <c r="G142" s="4" t="s">
        <v>635</v>
      </c>
      <c r="H142" s="4" t="s">
        <v>533</v>
      </c>
    </row>
    <row r="143" spans="1:9" ht="38.25">
      <c r="A143" s="1">
        <v>141514</v>
      </c>
      <c r="B143" s="4" t="s">
        <v>100</v>
      </c>
      <c r="C143" s="4" t="s">
        <v>5</v>
      </c>
      <c r="D143" s="4" t="s">
        <v>380</v>
      </c>
      <c r="E143" s="4" t="s">
        <v>210</v>
      </c>
      <c r="F143" s="4" t="s">
        <v>136</v>
      </c>
      <c r="G143" s="4" t="s">
        <v>586</v>
      </c>
      <c r="H143" s="4" t="s">
        <v>583</v>
      </c>
    </row>
    <row r="144" spans="1:9" ht="38.25">
      <c r="A144" s="1">
        <v>141646</v>
      </c>
      <c r="B144" s="4" t="s">
        <v>6</v>
      </c>
      <c r="C144" s="4" t="s">
        <v>6</v>
      </c>
      <c r="D144" s="4" t="s">
        <v>381</v>
      </c>
      <c r="E144" s="4" t="s">
        <v>206</v>
      </c>
      <c r="F144" s="4" t="s">
        <v>136</v>
      </c>
      <c r="G144" s="4" t="s">
        <v>675</v>
      </c>
      <c r="H144" s="4"/>
      <c r="I144" s="11" t="s">
        <v>676</v>
      </c>
    </row>
    <row r="145" spans="1:9" ht="38.25">
      <c r="A145" s="1">
        <v>141669</v>
      </c>
      <c r="B145" s="4" t="s">
        <v>155</v>
      </c>
      <c r="C145" s="4" t="s">
        <v>482</v>
      </c>
      <c r="D145" s="4" t="s">
        <v>674</v>
      </c>
      <c r="E145" s="4" t="s">
        <v>206</v>
      </c>
      <c r="F145" s="4" t="s">
        <v>11</v>
      </c>
      <c r="G145" s="4" t="s">
        <v>382</v>
      </c>
      <c r="H145" s="4" t="s">
        <v>652</v>
      </c>
    </row>
    <row r="146" spans="1:9" ht="25.5">
      <c r="A146" s="12">
        <v>141945</v>
      </c>
      <c r="B146" s="13" t="s">
        <v>6</v>
      </c>
      <c r="C146" s="13" t="s">
        <v>6</v>
      </c>
      <c r="D146" s="13" t="s">
        <v>383</v>
      </c>
      <c r="E146" s="13" t="s">
        <v>210</v>
      </c>
      <c r="F146" s="13" t="s">
        <v>136</v>
      </c>
      <c r="G146" s="13" t="s">
        <v>384</v>
      </c>
      <c r="H146" s="13" t="s">
        <v>553</v>
      </c>
      <c r="I146" s="18" t="s">
        <v>587</v>
      </c>
    </row>
    <row r="147" spans="1:9" ht="38.25">
      <c r="A147" s="1">
        <v>142024</v>
      </c>
      <c r="B147" s="4" t="s">
        <v>156</v>
      </c>
      <c r="C147" s="4" t="s">
        <v>157</v>
      </c>
      <c r="D147" s="4" t="s">
        <v>385</v>
      </c>
      <c r="E147" s="4" t="s">
        <v>204</v>
      </c>
      <c r="F147" s="4" t="s">
        <v>136</v>
      </c>
      <c r="G147" s="4" t="s">
        <v>386</v>
      </c>
      <c r="H147" s="4"/>
    </row>
    <row r="148" spans="1:9" ht="38.25">
      <c r="A148" s="1">
        <v>142055</v>
      </c>
      <c r="B148" s="4" t="s">
        <v>158</v>
      </c>
      <c r="C148" s="4" t="s">
        <v>159</v>
      </c>
      <c r="D148" s="4" t="s">
        <v>387</v>
      </c>
      <c r="E148" s="4" t="s">
        <v>210</v>
      </c>
      <c r="F148" s="4" t="s">
        <v>11</v>
      </c>
      <c r="G148" s="4" t="s">
        <v>588</v>
      </c>
      <c r="H148" s="4" t="s">
        <v>565</v>
      </c>
    </row>
    <row r="149" spans="1:9" ht="51">
      <c r="A149" s="1">
        <v>142357</v>
      </c>
      <c r="B149" s="4" t="s">
        <v>160</v>
      </c>
      <c r="C149" s="4" t="s">
        <v>63</v>
      </c>
      <c r="D149" s="4" t="s">
        <v>388</v>
      </c>
      <c r="E149" s="4" t="s">
        <v>206</v>
      </c>
      <c r="F149" s="4" t="s">
        <v>11</v>
      </c>
      <c r="G149" s="4" t="s">
        <v>677</v>
      </c>
      <c r="H149" s="4" t="s">
        <v>643</v>
      </c>
    </row>
    <row r="150" spans="1:9" ht="38.25">
      <c r="A150" s="1">
        <v>143425</v>
      </c>
      <c r="B150" s="4" t="s">
        <v>161</v>
      </c>
      <c r="C150" s="4" t="s">
        <v>25</v>
      </c>
      <c r="D150" s="4" t="s">
        <v>389</v>
      </c>
      <c r="E150" s="4" t="s">
        <v>206</v>
      </c>
      <c r="F150" s="4" t="s">
        <v>11</v>
      </c>
      <c r="G150" s="4" t="s">
        <v>678</v>
      </c>
      <c r="H150" s="4" t="s">
        <v>643</v>
      </c>
    </row>
    <row r="151" spans="1:9" ht="38.25">
      <c r="A151" s="2">
        <v>143756</v>
      </c>
      <c r="B151" s="4" t="s">
        <v>162</v>
      </c>
      <c r="C151" s="4" t="s">
        <v>77</v>
      </c>
      <c r="D151" s="4" t="s">
        <v>390</v>
      </c>
      <c r="E151" s="4" t="s">
        <v>210</v>
      </c>
      <c r="F151" s="4" t="s">
        <v>136</v>
      </c>
      <c r="G151" s="4" t="s">
        <v>590</v>
      </c>
      <c r="H151" s="4" t="s">
        <v>565</v>
      </c>
      <c r="I151" s="11" t="s">
        <v>589</v>
      </c>
    </row>
    <row r="152" spans="1:9" ht="38.25">
      <c r="A152" s="1">
        <v>144075</v>
      </c>
      <c r="B152" s="4" t="s">
        <v>163</v>
      </c>
      <c r="C152" s="4" t="s">
        <v>164</v>
      </c>
      <c r="D152" s="4" t="s">
        <v>391</v>
      </c>
      <c r="E152" s="4" t="s">
        <v>204</v>
      </c>
      <c r="F152" s="4" t="s">
        <v>11</v>
      </c>
      <c r="G152" s="4" t="s">
        <v>392</v>
      </c>
      <c r="H152" s="4"/>
    </row>
    <row r="153" spans="1:9" ht="25.5">
      <c r="A153" s="1">
        <v>144437</v>
      </c>
      <c r="B153" s="4" t="s">
        <v>6</v>
      </c>
      <c r="C153" s="4" t="s">
        <v>6</v>
      </c>
      <c r="D153" s="4" t="s">
        <v>138</v>
      </c>
      <c r="E153" s="4" t="s">
        <v>210</v>
      </c>
      <c r="F153" s="4" t="s">
        <v>136</v>
      </c>
      <c r="G153" s="4" t="s">
        <v>591</v>
      </c>
      <c r="H153" s="4" t="s">
        <v>544</v>
      </c>
    </row>
    <row r="154" spans="1:9" ht="38.25">
      <c r="A154" s="1">
        <v>144461</v>
      </c>
      <c r="B154" s="4" t="s">
        <v>165</v>
      </c>
      <c r="C154" s="4" t="s">
        <v>166</v>
      </c>
      <c r="D154" s="4" t="s">
        <v>393</v>
      </c>
      <c r="E154" s="4" t="s">
        <v>204</v>
      </c>
      <c r="F154" s="4" t="s">
        <v>136</v>
      </c>
      <c r="G154" s="4" t="s">
        <v>394</v>
      </c>
      <c r="H154" s="4"/>
    </row>
    <row r="155" spans="1:9" ht="25.5">
      <c r="A155" s="1">
        <v>144830</v>
      </c>
      <c r="B155" s="4" t="s">
        <v>167</v>
      </c>
      <c r="C155" s="4" t="s">
        <v>38</v>
      </c>
      <c r="D155" s="4" t="s">
        <v>395</v>
      </c>
      <c r="E155" s="4" t="s">
        <v>210</v>
      </c>
      <c r="F155" s="4" t="s">
        <v>136</v>
      </c>
      <c r="G155" s="4" t="s">
        <v>592</v>
      </c>
      <c r="H155" s="4" t="s">
        <v>533</v>
      </c>
    </row>
    <row r="156" spans="1:9" ht="38.25">
      <c r="A156" s="1">
        <v>144957</v>
      </c>
      <c r="B156" s="4" t="s">
        <v>168</v>
      </c>
      <c r="C156" s="4" t="s">
        <v>169</v>
      </c>
      <c r="D156" s="4" t="s">
        <v>396</v>
      </c>
      <c r="E156" s="4" t="s">
        <v>210</v>
      </c>
      <c r="F156" s="4" t="s">
        <v>11</v>
      </c>
      <c r="G156" s="4" t="s">
        <v>593</v>
      </c>
      <c r="H156" s="4" t="s">
        <v>533</v>
      </c>
      <c r="I156" s="11" t="s">
        <v>595</v>
      </c>
    </row>
    <row r="157" spans="1:9" ht="38.25">
      <c r="A157" s="1">
        <v>145277</v>
      </c>
      <c r="B157" s="4" t="s">
        <v>170</v>
      </c>
      <c r="C157" s="4" t="s">
        <v>472</v>
      </c>
      <c r="D157" s="4" t="s">
        <v>397</v>
      </c>
      <c r="E157" s="4" t="s">
        <v>210</v>
      </c>
      <c r="F157" s="4" t="s">
        <v>136</v>
      </c>
      <c r="G157" s="4" t="s">
        <v>594</v>
      </c>
      <c r="H157" s="4" t="s">
        <v>539</v>
      </c>
    </row>
    <row r="158" spans="1:9" ht="88.5">
      <c r="A158" s="1">
        <v>145284</v>
      </c>
      <c r="B158" s="4" t="s">
        <v>171</v>
      </c>
      <c r="C158" s="4" t="s">
        <v>25</v>
      </c>
      <c r="D158" s="4" t="s">
        <v>398</v>
      </c>
      <c r="E158" s="4" t="s">
        <v>210</v>
      </c>
      <c r="F158" s="4" t="s">
        <v>136</v>
      </c>
      <c r="G158" s="4" t="s">
        <v>598</v>
      </c>
      <c r="H158" s="4" t="s">
        <v>565</v>
      </c>
      <c r="I158" s="11" t="s">
        <v>597</v>
      </c>
    </row>
    <row r="159" spans="1:9" ht="51">
      <c r="A159" s="12">
        <v>146598</v>
      </c>
      <c r="B159" s="13" t="s">
        <v>6</v>
      </c>
      <c r="C159" s="13" t="s">
        <v>506</v>
      </c>
      <c r="D159" s="13" t="s">
        <v>399</v>
      </c>
      <c r="E159" s="13" t="s">
        <v>206</v>
      </c>
      <c r="F159" s="13" t="s">
        <v>11</v>
      </c>
      <c r="G159" s="13" t="s">
        <v>400</v>
      </c>
      <c r="H159" s="13" t="s">
        <v>553</v>
      </c>
    </row>
    <row r="160" spans="1:9" ht="25.5">
      <c r="A160" s="1">
        <v>147143</v>
      </c>
      <c r="B160" s="4" t="s">
        <v>6</v>
      </c>
      <c r="C160" s="4" t="s">
        <v>6</v>
      </c>
      <c r="D160" s="4" t="s">
        <v>401</v>
      </c>
      <c r="E160" s="4" t="s">
        <v>204</v>
      </c>
      <c r="F160" s="4" t="s">
        <v>136</v>
      </c>
      <c r="G160" s="4" t="s">
        <v>402</v>
      </c>
      <c r="H160" s="4"/>
    </row>
    <row r="161" spans="1:9" ht="76.5">
      <c r="A161" s="1">
        <v>147162</v>
      </c>
      <c r="B161" s="4" t="s">
        <v>172</v>
      </c>
      <c r="C161" s="4" t="s">
        <v>173</v>
      </c>
      <c r="D161" s="4" t="s">
        <v>403</v>
      </c>
      <c r="E161" s="4" t="s">
        <v>210</v>
      </c>
      <c r="F161" s="4" t="s">
        <v>136</v>
      </c>
      <c r="G161" s="4" t="s">
        <v>596</v>
      </c>
      <c r="H161" s="4" t="s">
        <v>544</v>
      </c>
      <c r="I161" s="11" t="s">
        <v>599</v>
      </c>
    </row>
    <row r="162" spans="1:9" ht="51">
      <c r="A162" s="12">
        <v>147565</v>
      </c>
      <c r="B162" s="13" t="s">
        <v>6</v>
      </c>
      <c r="C162" s="13" t="s">
        <v>679</v>
      </c>
      <c r="D162" s="13" t="s">
        <v>404</v>
      </c>
      <c r="E162" s="13" t="s">
        <v>206</v>
      </c>
      <c r="F162" s="13" t="s">
        <v>11</v>
      </c>
      <c r="G162" s="13" t="s">
        <v>405</v>
      </c>
      <c r="H162" s="13" t="s">
        <v>553</v>
      </c>
    </row>
    <row r="163" spans="1:9" ht="38.25">
      <c r="A163" s="1">
        <v>147776</v>
      </c>
      <c r="B163" s="4" t="s">
        <v>174</v>
      </c>
      <c r="C163" s="4" t="s">
        <v>473</v>
      </c>
      <c r="D163" s="4" t="s">
        <v>406</v>
      </c>
      <c r="E163" s="5" t="s">
        <v>210</v>
      </c>
      <c r="F163" s="4" t="s">
        <v>136</v>
      </c>
      <c r="G163" s="4" t="s">
        <v>600</v>
      </c>
      <c r="H163" s="4"/>
    </row>
    <row r="164" spans="1:9" ht="38.25">
      <c r="A164" s="1">
        <v>147777</v>
      </c>
      <c r="B164" s="4" t="s">
        <v>175</v>
      </c>
      <c r="C164" s="4" t="s">
        <v>176</v>
      </c>
      <c r="D164" s="4" t="s">
        <v>407</v>
      </c>
      <c r="E164" s="4" t="s">
        <v>204</v>
      </c>
      <c r="F164" s="4" t="s">
        <v>11</v>
      </c>
      <c r="G164" s="4" t="s">
        <v>408</v>
      </c>
      <c r="H164" s="4"/>
    </row>
    <row r="165" spans="1:9" ht="51">
      <c r="A165" s="1">
        <v>147840</v>
      </c>
      <c r="B165" s="4" t="s">
        <v>177</v>
      </c>
      <c r="C165" s="4" t="s">
        <v>40</v>
      </c>
      <c r="D165" s="4" t="s">
        <v>409</v>
      </c>
      <c r="E165" s="4" t="s">
        <v>208</v>
      </c>
      <c r="F165" s="4" t="s">
        <v>136</v>
      </c>
      <c r="G165" s="4" t="s">
        <v>636</v>
      </c>
      <c r="H165" s="4"/>
      <c r="I165" s="11" t="s">
        <v>638</v>
      </c>
    </row>
    <row r="166" spans="1:9" ht="38.25">
      <c r="A166" s="1">
        <v>148040</v>
      </c>
      <c r="B166" s="4" t="s">
        <v>6</v>
      </c>
      <c r="C166" s="4" t="s">
        <v>6</v>
      </c>
      <c r="D166" s="4" t="s">
        <v>410</v>
      </c>
      <c r="E166" s="4" t="s">
        <v>204</v>
      </c>
      <c r="F166" s="4" t="s">
        <v>136</v>
      </c>
      <c r="G166" s="4" t="s">
        <v>411</v>
      </c>
      <c r="H166" s="4"/>
    </row>
    <row r="167" spans="1:9" ht="25.5">
      <c r="A167" s="1">
        <v>149406</v>
      </c>
      <c r="B167" s="4" t="s">
        <v>178</v>
      </c>
      <c r="C167" s="4" t="s">
        <v>42</v>
      </c>
      <c r="D167" s="4" t="s">
        <v>412</v>
      </c>
      <c r="E167" s="4" t="s">
        <v>204</v>
      </c>
      <c r="F167" s="4" t="s">
        <v>137</v>
      </c>
      <c r="G167" s="4" t="s">
        <v>413</v>
      </c>
      <c r="H167" s="4"/>
    </row>
    <row r="168" spans="1:9" ht="38.25">
      <c r="A168" s="1">
        <v>149502</v>
      </c>
      <c r="B168" s="4" t="s">
        <v>6</v>
      </c>
      <c r="C168" s="4" t="s">
        <v>6</v>
      </c>
      <c r="D168" s="4" t="s">
        <v>414</v>
      </c>
      <c r="E168" s="4" t="s">
        <v>206</v>
      </c>
      <c r="F168" s="4" t="s">
        <v>11</v>
      </c>
      <c r="G168" s="4" t="s">
        <v>415</v>
      </c>
      <c r="H168" s="4" t="s">
        <v>681</v>
      </c>
      <c r="I168" s="11" t="s">
        <v>680</v>
      </c>
    </row>
    <row r="169" spans="1:9" ht="63.75">
      <c r="A169" s="1">
        <v>149509</v>
      </c>
      <c r="B169" s="4" t="s">
        <v>179</v>
      </c>
      <c r="C169" s="4" t="s">
        <v>42</v>
      </c>
      <c r="D169" s="4" t="s">
        <v>416</v>
      </c>
      <c r="E169" s="4" t="s">
        <v>210</v>
      </c>
      <c r="F169" s="4" t="s">
        <v>136</v>
      </c>
      <c r="G169" s="4" t="s">
        <v>604</v>
      </c>
      <c r="H169" s="4" t="s">
        <v>532</v>
      </c>
      <c r="I169" s="11" t="s">
        <v>603</v>
      </c>
    </row>
    <row r="170" spans="1:9" ht="51">
      <c r="A170" s="1">
        <v>149840</v>
      </c>
      <c r="B170" s="4" t="s">
        <v>180</v>
      </c>
      <c r="C170" s="4" t="s">
        <v>181</v>
      </c>
      <c r="D170" s="4" t="s">
        <v>417</v>
      </c>
      <c r="E170" s="4" t="s">
        <v>208</v>
      </c>
      <c r="F170" s="4" t="s">
        <v>11</v>
      </c>
      <c r="G170" s="4" t="s">
        <v>418</v>
      </c>
      <c r="H170" s="4" t="s">
        <v>532</v>
      </c>
    </row>
    <row r="171" spans="1:9" ht="25.5">
      <c r="A171" s="1">
        <v>150110</v>
      </c>
      <c r="B171" s="4" t="s">
        <v>182</v>
      </c>
      <c r="C171" s="4" t="s">
        <v>57</v>
      </c>
      <c r="D171" s="4" t="s">
        <v>419</v>
      </c>
      <c r="E171" s="4" t="s">
        <v>210</v>
      </c>
      <c r="F171" s="4" t="s">
        <v>11</v>
      </c>
      <c r="G171" s="4" t="s">
        <v>601</v>
      </c>
      <c r="H171" s="4" t="s">
        <v>544</v>
      </c>
    </row>
    <row r="172" spans="1:9" ht="51">
      <c r="A172" s="1">
        <v>150265</v>
      </c>
      <c r="B172" s="4" t="s">
        <v>19</v>
      </c>
      <c r="C172" s="4" t="s">
        <v>20</v>
      </c>
      <c r="D172" s="4" t="s">
        <v>420</v>
      </c>
      <c r="E172" s="4" t="s">
        <v>210</v>
      </c>
      <c r="F172" s="4" t="s">
        <v>136</v>
      </c>
      <c r="G172" s="4" t="s">
        <v>605</v>
      </c>
      <c r="H172" s="4" t="s">
        <v>602</v>
      </c>
    </row>
    <row r="173" spans="1:9" ht="38.25">
      <c r="A173" s="1">
        <v>150540</v>
      </c>
      <c r="B173" s="4" t="s">
        <v>183</v>
      </c>
      <c r="C173" s="4" t="s">
        <v>184</v>
      </c>
      <c r="D173" s="4" t="s">
        <v>421</v>
      </c>
      <c r="E173" s="4" t="s">
        <v>204</v>
      </c>
      <c r="F173" s="4" t="s">
        <v>136</v>
      </c>
      <c r="G173" s="4" t="s">
        <v>422</v>
      </c>
      <c r="H173" s="4"/>
    </row>
    <row r="174" spans="1:9" ht="25.5">
      <c r="A174" s="1">
        <v>150702</v>
      </c>
      <c r="B174" s="4" t="s">
        <v>6</v>
      </c>
      <c r="C174" s="4" t="s">
        <v>6</v>
      </c>
      <c r="D174" s="4" t="s">
        <v>423</v>
      </c>
      <c r="E174" s="4" t="s">
        <v>204</v>
      </c>
      <c r="F174" s="4" t="s">
        <v>137</v>
      </c>
      <c r="G174" s="4" t="s">
        <v>424</v>
      </c>
      <c r="H174" s="4"/>
    </row>
    <row r="175" spans="1:9" ht="51">
      <c r="A175" s="1">
        <v>150711</v>
      </c>
      <c r="B175" s="4" t="s">
        <v>185</v>
      </c>
      <c r="C175" s="4" t="s">
        <v>118</v>
      </c>
      <c r="D175" s="4" t="s">
        <v>425</v>
      </c>
      <c r="E175" s="4" t="s">
        <v>206</v>
      </c>
      <c r="F175" s="4" t="s">
        <v>136</v>
      </c>
      <c r="G175" s="4" t="s">
        <v>426</v>
      </c>
      <c r="H175" s="4" t="s">
        <v>681</v>
      </c>
    </row>
    <row r="176" spans="1:9" ht="51">
      <c r="A176" s="1">
        <v>150765</v>
      </c>
      <c r="B176" s="4" t="s">
        <v>186</v>
      </c>
      <c r="C176" s="4" t="s">
        <v>187</v>
      </c>
      <c r="D176" s="4" t="s">
        <v>427</v>
      </c>
      <c r="E176" s="4" t="s">
        <v>210</v>
      </c>
      <c r="F176" s="4" t="s">
        <v>11</v>
      </c>
      <c r="G176" s="4" t="s">
        <v>671</v>
      </c>
      <c r="H176" s="4" t="s">
        <v>565</v>
      </c>
    </row>
    <row r="177" spans="1:9" ht="51">
      <c r="A177" s="1">
        <v>150994</v>
      </c>
      <c r="B177" s="4" t="s">
        <v>188</v>
      </c>
      <c r="C177" s="4" t="s">
        <v>189</v>
      </c>
      <c r="D177" s="4" t="s">
        <v>607</v>
      </c>
      <c r="E177" s="4" t="s">
        <v>210</v>
      </c>
      <c r="F177" s="4" t="s">
        <v>136</v>
      </c>
      <c r="G177" s="4" t="s">
        <v>606</v>
      </c>
      <c r="H177" s="4" t="s">
        <v>565</v>
      </c>
    </row>
    <row r="178" spans="1:9" ht="25.5">
      <c r="A178" s="1">
        <v>151743</v>
      </c>
      <c r="B178" s="4" t="s">
        <v>6</v>
      </c>
      <c r="C178" s="4" t="s">
        <v>6</v>
      </c>
      <c r="D178" s="4" t="s">
        <v>428</v>
      </c>
      <c r="E178" s="4" t="s">
        <v>204</v>
      </c>
      <c r="F178" s="4" t="s">
        <v>137</v>
      </c>
      <c r="G178" s="4" t="s">
        <v>429</v>
      </c>
      <c r="H178" s="4"/>
    </row>
    <row r="179" spans="1:9" ht="25.5">
      <c r="A179" s="1">
        <v>152012</v>
      </c>
      <c r="B179" s="4" t="s">
        <v>6</v>
      </c>
      <c r="C179" s="4" t="s">
        <v>6</v>
      </c>
      <c r="D179" s="4" t="s">
        <v>430</v>
      </c>
      <c r="E179" s="4" t="s">
        <v>210</v>
      </c>
      <c r="F179" s="4" t="s">
        <v>136</v>
      </c>
      <c r="G179" s="4" t="s">
        <v>608</v>
      </c>
      <c r="H179" s="4" t="s">
        <v>539</v>
      </c>
    </row>
    <row r="180" spans="1:9" ht="51">
      <c r="A180" s="1">
        <v>152162</v>
      </c>
      <c r="B180" s="4" t="s">
        <v>190</v>
      </c>
      <c r="C180" s="4" t="s">
        <v>191</v>
      </c>
      <c r="D180" s="4" t="s">
        <v>670</v>
      </c>
      <c r="E180" s="4" t="s">
        <v>206</v>
      </c>
      <c r="F180" s="4" t="s">
        <v>136</v>
      </c>
      <c r="G180" s="4" t="s">
        <v>431</v>
      </c>
      <c r="H180" s="4" t="s">
        <v>652</v>
      </c>
    </row>
    <row r="181" spans="1:9" ht="38.25">
      <c r="A181" s="1">
        <v>152473</v>
      </c>
      <c r="B181" s="4" t="s">
        <v>192</v>
      </c>
      <c r="C181" s="4" t="s">
        <v>476</v>
      </c>
      <c r="D181" s="4" t="s">
        <v>432</v>
      </c>
      <c r="E181" s="4" t="s">
        <v>204</v>
      </c>
      <c r="F181" s="4" t="s">
        <v>136</v>
      </c>
      <c r="G181" s="4" t="s">
        <v>433</v>
      </c>
      <c r="H181" s="4"/>
    </row>
    <row r="182" spans="1:9" ht="38.25">
      <c r="A182" s="12">
        <v>153476</v>
      </c>
      <c r="B182" s="13" t="s">
        <v>193</v>
      </c>
      <c r="C182" s="13" t="s">
        <v>176</v>
      </c>
      <c r="D182" s="13" t="s">
        <v>434</v>
      </c>
      <c r="E182" s="13" t="s">
        <v>210</v>
      </c>
      <c r="F182" s="13" t="s">
        <v>136</v>
      </c>
      <c r="G182" s="13" t="s">
        <v>435</v>
      </c>
      <c r="H182" s="13" t="s">
        <v>553</v>
      </c>
    </row>
    <row r="183" spans="1:9" ht="38.25">
      <c r="A183" s="1">
        <v>153605</v>
      </c>
      <c r="B183" s="4" t="s">
        <v>194</v>
      </c>
      <c r="C183" s="4" t="s">
        <v>77</v>
      </c>
      <c r="D183" s="4" t="s">
        <v>436</v>
      </c>
      <c r="E183" s="4" t="s">
        <v>208</v>
      </c>
      <c r="F183" s="4" t="s">
        <v>136</v>
      </c>
      <c r="G183" s="4" t="s">
        <v>637</v>
      </c>
      <c r="H183" s="4" t="s">
        <v>617</v>
      </c>
    </row>
    <row r="184" spans="1:9" ht="76.5">
      <c r="A184" s="1">
        <v>153607</v>
      </c>
      <c r="B184" s="4" t="s">
        <v>195</v>
      </c>
      <c r="C184" s="4" t="s">
        <v>63</v>
      </c>
      <c r="D184" s="4" t="s">
        <v>437</v>
      </c>
      <c r="E184" s="4" t="s">
        <v>210</v>
      </c>
      <c r="F184" s="4" t="s">
        <v>136</v>
      </c>
      <c r="G184" s="4" t="s">
        <v>611</v>
      </c>
      <c r="H184" s="4" t="s">
        <v>533</v>
      </c>
      <c r="I184" s="11" t="s">
        <v>610</v>
      </c>
    </row>
    <row r="185" spans="1:9" ht="38.25">
      <c r="A185" s="1">
        <v>154490</v>
      </c>
      <c r="B185" s="4" t="s">
        <v>6</v>
      </c>
      <c r="C185" s="4" t="s">
        <v>6</v>
      </c>
      <c r="D185" s="4" t="s">
        <v>438</v>
      </c>
      <c r="E185" s="4" t="s">
        <v>204</v>
      </c>
      <c r="F185" s="4" t="s">
        <v>137</v>
      </c>
      <c r="G185" s="4" t="s">
        <v>439</v>
      </c>
      <c r="H185" s="4"/>
    </row>
    <row r="186" spans="1:9" ht="25.5">
      <c r="A186" s="1">
        <v>154707</v>
      </c>
      <c r="B186" s="4" t="s">
        <v>6</v>
      </c>
      <c r="C186" s="4" t="s">
        <v>6</v>
      </c>
      <c r="D186" s="4" t="s">
        <v>440</v>
      </c>
      <c r="E186" s="4" t="s">
        <v>204</v>
      </c>
      <c r="F186" s="4" t="s">
        <v>137</v>
      </c>
      <c r="G186" s="4" t="s">
        <v>441</v>
      </c>
      <c r="H186" s="4"/>
    </row>
    <row r="187" spans="1:9" ht="76.5">
      <c r="A187" s="1">
        <v>154820</v>
      </c>
      <c r="B187" s="4" t="s">
        <v>196</v>
      </c>
      <c r="C187" s="4" t="s">
        <v>483</v>
      </c>
      <c r="D187" s="4" t="s">
        <v>442</v>
      </c>
      <c r="E187" s="4" t="s">
        <v>206</v>
      </c>
      <c r="F187" s="4" t="s">
        <v>11</v>
      </c>
      <c r="G187" s="4" t="s">
        <v>669</v>
      </c>
      <c r="H187" s="4" t="s">
        <v>602</v>
      </c>
      <c r="I187" s="10" t="s">
        <v>673</v>
      </c>
    </row>
    <row r="188" spans="1:9" ht="51">
      <c r="A188" s="1">
        <v>155057</v>
      </c>
      <c r="B188" s="4" t="s">
        <v>197</v>
      </c>
      <c r="C188" s="4" t="s">
        <v>198</v>
      </c>
      <c r="D188" s="4" t="s">
        <v>443</v>
      </c>
      <c r="E188" s="4" t="s">
        <v>206</v>
      </c>
      <c r="F188" s="4" t="s">
        <v>136</v>
      </c>
      <c r="G188" s="4" t="s">
        <v>664</v>
      </c>
      <c r="H188" s="4" t="s">
        <v>643</v>
      </c>
    </row>
    <row r="189" spans="1:9" ht="25.5">
      <c r="A189" s="1">
        <v>155246</v>
      </c>
      <c r="B189" s="4" t="s">
        <v>6</v>
      </c>
      <c r="C189" s="4" t="s">
        <v>6</v>
      </c>
      <c r="D189" s="4" t="s">
        <v>444</v>
      </c>
      <c r="E189" s="4" t="s">
        <v>206</v>
      </c>
      <c r="F189" s="4" t="s">
        <v>136</v>
      </c>
      <c r="G189" s="4" t="s">
        <v>650</v>
      </c>
      <c r="H189" s="4" t="s">
        <v>544</v>
      </c>
    </row>
    <row r="190" spans="1:9" ht="25.5">
      <c r="A190" s="1">
        <v>155426</v>
      </c>
      <c r="B190" s="4" t="s">
        <v>199</v>
      </c>
      <c r="C190" s="4" t="s">
        <v>40</v>
      </c>
      <c r="D190" s="4" t="s">
        <v>445</v>
      </c>
      <c r="E190" s="4" t="s">
        <v>208</v>
      </c>
      <c r="F190" s="4" t="s">
        <v>136</v>
      </c>
      <c r="G190" s="4" t="s">
        <v>639</v>
      </c>
      <c r="H190" s="4" t="s">
        <v>544</v>
      </c>
    </row>
    <row r="191" spans="1:9" ht="51">
      <c r="A191" s="1">
        <v>155841</v>
      </c>
      <c r="B191" s="4" t="s">
        <v>200</v>
      </c>
      <c r="C191" s="4" t="s">
        <v>201</v>
      </c>
      <c r="D191" s="4" t="s">
        <v>139</v>
      </c>
      <c r="E191" s="4" t="s">
        <v>210</v>
      </c>
      <c r="F191" s="4" t="s">
        <v>136</v>
      </c>
      <c r="G191" s="4" t="s">
        <v>609</v>
      </c>
      <c r="H191" s="4" t="s">
        <v>565</v>
      </c>
    </row>
    <row r="192" spans="1:9" ht="38.25">
      <c r="A192" s="1">
        <v>156054</v>
      </c>
      <c r="B192" s="4" t="s">
        <v>6</v>
      </c>
      <c r="C192" s="4" t="s">
        <v>477</v>
      </c>
      <c r="D192" s="4" t="s">
        <v>446</v>
      </c>
      <c r="E192" s="4" t="s">
        <v>204</v>
      </c>
      <c r="F192" s="4" t="s">
        <v>137</v>
      </c>
      <c r="G192" s="4" t="s">
        <v>447</v>
      </c>
      <c r="H192" s="4"/>
    </row>
    <row r="193" spans="1:9" ht="38.25">
      <c r="A193" s="12">
        <v>156716</v>
      </c>
      <c r="B193" s="13" t="s">
        <v>6</v>
      </c>
      <c r="C193" s="13" t="s">
        <v>612</v>
      </c>
      <c r="D193" s="13" t="s">
        <v>448</v>
      </c>
      <c r="E193" s="13" t="s">
        <v>210</v>
      </c>
      <c r="F193" s="13" t="s">
        <v>136</v>
      </c>
      <c r="G193" s="13" t="s">
        <v>449</v>
      </c>
      <c r="H193" s="13" t="s">
        <v>553</v>
      </c>
    </row>
    <row r="194" spans="1:9" ht="76.5">
      <c r="A194" s="1">
        <v>156720</v>
      </c>
      <c r="B194" s="4" t="s">
        <v>202</v>
      </c>
      <c r="C194" s="4" t="s">
        <v>30</v>
      </c>
      <c r="D194" s="4" t="s">
        <v>450</v>
      </c>
      <c r="E194" s="4" t="s">
        <v>210</v>
      </c>
      <c r="F194" s="4" t="s">
        <v>136</v>
      </c>
      <c r="G194" s="4" t="s">
        <v>614</v>
      </c>
      <c r="H194" s="4" t="s">
        <v>602</v>
      </c>
      <c r="I194" s="11" t="s">
        <v>613</v>
      </c>
    </row>
    <row r="195" spans="1:9" ht="25.5">
      <c r="A195" s="12">
        <v>156722</v>
      </c>
      <c r="B195" s="13" t="s">
        <v>6</v>
      </c>
      <c r="C195" s="19" t="s">
        <v>615</v>
      </c>
      <c r="D195" s="13" t="s">
        <v>451</v>
      </c>
      <c r="E195" s="13" t="s">
        <v>210</v>
      </c>
      <c r="F195" s="13" t="s">
        <v>136</v>
      </c>
      <c r="G195" s="13" t="s">
        <v>452</v>
      </c>
      <c r="H195" s="13" t="s">
        <v>553</v>
      </c>
    </row>
    <row r="196" spans="1:9" ht="38.25">
      <c r="A196" s="12">
        <v>156724</v>
      </c>
      <c r="B196" s="13" t="s">
        <v>203</v>
      </c>
      <c r="C196" s="13" t="s">
        <v>616</v>
      </c>
      <c r="D196" s="13" t="s">
        <v>453</v>
      </c>
      <c r="E196" s="13" t="s">
        <v>210</v>
      </c>
      <c r="F196" s="13" t="s">
        <v>136</v>
      </c>
      <c r="G196" s="13" t="s">
        <v>454</v>
      </c>
      <c r="H196" s="13" t="s">
        <v>553</v>
      </c>
    </row>
  </sheetData>
  <sortState xmlns:xlrd2="http://schemas.microsoft.com/office/spreadsheetml/2017/richdata2" ref="A3:J196">
    <sortCondition ref="A3:A196"/>
  </sortState>
  <mergeCells count="5">
    <mergeCell ref="A1:A2"/>
    <mergeCell ref="B1:C2"/>
    <mergeCell ref="D1:G1"/>
    <mergeCell ref="I1:I2"/>
    <mergeCell ref="H1:H2"/>
  </mergeCells>
  <phoneticPr fontId="1" type="noConversion"/>
  <pageMargins left="0.25" right="0.25"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Sheet9 (2)</vt:lpstr>
      <vt:lpstr>Sheet1</vt:lpstr>
      <vt:lpstr>Sheet9</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at548</cp:lastModifiedBy>
  <cp:lastPrinted>2026-01-26T10:42:13Z</cp:lastPrinted>
  <dcterms:created xsi:type="dcterms:W3CDTF">2025-11-13T07:02:27Z</dcterms:created>
  <dcterms:modified xsi:type="dcterms:W3CDTF">2026-03-20T06:15:19Z</dcterms:modified>
</cp:coreProperties>
</file>